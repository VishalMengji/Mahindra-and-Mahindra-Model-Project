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6f9b90f4dd225b2b/Desktop/"/>
    </mc:Choice>
  </mc:AlternateContent>
  <xr:revisionPtr revIDLastSave="13" documentId="11_14FB1672E98141799C5236EC4C797B7944055575" xr6:coauthVersionLast="47" xr6:coauthVersionMax="47" xr10:uidLastSave="{23CFC643-1D20-4D0F-9203-4A320184B664}"/>
  <bookViews>
    <workbookView minimized="1" xWindow="11868" yWindow="468" windowWidth="7500" windowHeight="6000" tabRatio="500" activeTab="3" xr2:uid="{00000000-000D-0000-FFFF-FFFF00000000}"/>
  </bookViews>
  <sheets>
    <sheet name="Intrinsic growth" sheetId="6" r:id="rId1"/>
    <sheet name="PV OF FCF" sheetId="7" r:id="rId2"/>
    <sheet name="Raw Data (Source)" sheetId="8" r:id="rId3"/>
    <sheet name="Data Sheet" sheetId="9" r:id="rId4"/>
  </sheets>
  <externalReferences>
    <externalReference r:id="rId5"/>
  </externalReference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"01/26/2023 09:21:20"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UPDATE">'Data Sheet'!$E$1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7" i="7" l="1"/>
  <c r="K76" i="9"/>
  <c r="J76" i="9"/>
  <c r="I76" i="9"/>
  <c r="H76" i="9"/>
  <c r="G76" i="9"/>
  <c r="F76" i="9"/>
  <c r="K75" i="9"/>
  <c r="J75" i="9"/>
  <c r="I75" i="9"/>
  <c r="H75" i="9"/>
  <c r="G75" i="9"/>
  <c r="F75" i="9"/>
  <c r="K73" i="9"/>
  <c r="J73" i="9"/>
  <c r="I73" i="9"/>
  <c r="H73" i="9"/>
  <c r="K51" i="9"/>
  <c r="J51" i="9"/>
  <c r="I51" i="9"/>
  <c r="H51" i="9"/>
  <c r="G51" i="9"/>
  <c r="F51" i="9"/>
  <c r="E51" i="9"/>
  <c r="D51" i="9"/>
  <c r="C51" i="9"/>
  <c r="B51" i="9"/>
  <c r="K34" i="9"/>
  <c r="J34" i="9"/>
  <c r="I34" i="9"/>
  <c r="H34" i="9"/>
  <c r="G34" i="9"/>
  <c r="F34" i="9"/>
  <c r="E34" i="9"/>
  <c r="D34" i="9"/>
  <c r="C34" i="9"/>
  <c r="B34" i="9"/>
  <c r="K32" i="9"/>
  <c r="J32" i="9"/>
  <c r="I32" i="9"/>
  <c r="H32" i="9"/>
  <c r="G32" i="9"/>
  <c r="F32" i="9"/>
  <c r="E32" i="9"/>
  <c r="D32" i="9"/>
  <c r="C32" i="9"/>
  <c r="B32" i="9"/>
  <c r="K15" i="9"/>
  <c r="B15" i="9"/>
  <c r="B6" i="9"/>
  <c r="E1" i="9"/>
  <c r="P117" i="8"/>
  <c r="O117" i="8"/>
  <c r="N117" i="8"/>
  <c r="M117" i="8"/>
  <c r="L117" i="8"/>
  <c r="K117" i="8"/>
  <c r="C39" i="7"/>
  <c r="C36" i="7"/>
  <c r="C26" i="7"/>
  <c r="F13" i="7"/>
  <c r="G13" i="7" s="1"/>
  <c r="H13" i="7" s="1"/>
  <c r="I13" i="7" s="1"/>
  <c r="I6" i="7"/>
  <c r="H6" i="7"/>
  <c r="G6" i="7"/>
  <c r="F6" i="7"/>
  <c r="E6" i="7"/>
  <c r="D6" i="7"/>
  <c r="J45" i="6"/>
  <c r="I45" i="6"/>
  <c r="H45" i="6"/>
  <c r="G45" i="6"/>
  <c r="F45" i="6"/>
  <c r="E45" i="6"/>
  <c r="J35" i="6"/>
  <c r="I35" i="6"/>
  <c r="H35" i="6"/>
  <c r="G35" i="6"/>
  <c r="F35" i="6"/>
  <c r="E35" i="6"/>
  <c r="F34" i="6"/>
  <c r="F36" i="6" s="1"/>
  <c r="E34" i="6"/>
  <c r="E36" i="6" s="1"/>
  <c r="J33" i="6"/>
  <c r="J34" i="6" s="1"/>
  <c r="J36" i="6" s="1"/>
  <c r="I33" i="6"/>
  <c r="I34" i="6" s="1"/>
  <c r="I36" i="6" s="1"/>
  <c r="H33" i="6"/>
  <c r="H34" i="6" s="1"/>
  <c r="H36" i="6" s="1"/>
  <c r="G33" i="6"/>
  <c r="G34" i="6" s="1"/>
  <c r="G36" i="6" s="1"/>
  <c r="F33" i="6"/>
  <c r="E33" i="6"/>
  <c r="B33" i="6"/>
  <c r="J32" i="6"/>
  <c r="I32" i="6"/>
  <c r="H32" i="6"/>
  <c r="G32" i="6"/>
  <c r="F32" i="6"/>
  <c r="E32" i="6"/>
  <c r="B32" i="6"/>
  <c r="J31" i="6"/>
  <c r="I31" i="6"/>
  <c r="H31" i="6"/>
  <c r="G31" i="6"/>
  <c r="F31" i="6"/>
  <c r="E31" i="6"/>
  <c r="B31" i="6"/>
  <c r="J30" i="6"/>
  <c r="I30" i="6"/>
  <c r="H30" i="6"/>
  <c r="G30" i="6"/>
  <c r="F30" i="6"/>
  <c r="E30" i="6"/>
  <c r="B30" i="6"/>
  <c r="J29" i="6"/>
  <c r="I29" i="6"/>
  <c r="H29" i="6"/>
  <c r="G29" i="6"/>
  <c r="F29" i="6"/>
  <c r="E29" i="6"/>
  <c r="B29" i="6"/>
  <c r="J28" i="6"/>
  <c r="I28" i="6"/>
  <c r="H28" i="6"/>
  <c r="G28" i="6"/>
  <c r="F28" i="6"/>
  <c r="E28" i="6"/>
  <c r="B28" i="6"/>
  <c r="J27" i="6"/>
  <c r="I27" i="6"/>
  <c r="H27" i="6"/>
  <c r="G27" i="6"/>
  <c r="F27" i="6"/>
  <c r="E27" i="6"/>
  <c r="B27" i="6"/>
  <c r="J26" i="6"/>
  <c r="I26" i="6"/>
  <c r="H26" i="6"/>
  <c r="G26" i="6"/>
  <c r="F26" i="6"/>
  <c r="E26" i="6"/>
  <c r="B26" i="6"/>
  <c r="J20" i="6"/>
  <c r="I20" i="6"/>
  <c r="H20" i="6"/>
  <c r="G20" i="6"/>
  <c r="F20" i="6"/>
  <c r="E20" i="6"/>
  <c r="B20" i="6"/>
  <c r="J19" i="6"/>
  <c r="I19" i="6"/>
  <c r="H19" i="6"/>
  <c r="G19" i="6"/>
  <c r="F19" i="6"/>
  <c r="E19" i="6"/>
  <c r="B19" i="6"/>
  <c r="J18" i="6"/>
  <c r="J21" i="6" s="1"/>
  <c r="I18" i="6"/>
  <c r="I21" i="6" s="1"/>
  <c r="H18" i="6"/>
  <c r="H21" i="6" s="1"/>
  <c r="G18" i="6"/>
  <c r="G21" i="6" s="1"/>
  <c r="F18" i="6"/>
  <c r="F21" i="6" s="1"/>
  <c r="E18" i="6"/>
  <c r="E21" i="6" s="1"/>
  <c r="B18" i="6"/>
  <c r="J14" i="6"/>
  <c r="I14" i="6"/>
  <c r="H14" i="6"/>
  <c r="G14" i="6"/>
  <c r="F14" i="6"/>
  <c r="E14" i="6"/>
  <c r="B14" i="6"/>
  <c r="J13" i="6"/>
  <c r="I13" i="6"/>
  <c r="H13" i="6"/>
  <c r="G13" i="6"/>
  <c r="F13" i="6"/>
  <c r="E13" i="6"/>
  <c r="B13" i="6"/>
  <c r="J12" i="6"/>
  <c r="I12" i="6"/>
  <c r="H12" i="6"/>
  <c r="G12" i="6"/>
  <c r="F12" i="6"/>
  <c r="E12" i="6"/>
  <c r="B12" i="6"/>
  <c r="J11" i="6"/>
  <c r="J15" i="6" s="1"/>
  <c r="J23" i="6" s="1"/>
  <c r="I11" i="6"/>
  <c r="I15" i="6" s="1"/>
  <c r="I23" i="6" s="1"/>
  <c r="H11" i="6"/>
  <c r="H15" i="6" s="1"/>
  <c r="H23" i="6" s="1"/>
  <c r="H46" i="6" s="1"/>
  <c r="G11" i="6"/>
  <c r="G15" i="6" s="1"/>
  <c r="G23" i="6" s="1"/>
  <c r="F11" i="6"/>
  <c r="F15" i="6" s="1"/>
  <c r="F23" i="6" s="1"/>
  <c r="F46" i="6" s="1"/>
  <c r="E11" i="6"/>
  <c r="E15" i="6" s="1"/>
  <c r="E23" i="6" s="1"/>
  <c r="B11" i="6"/>
  <c r="H52" i="6" l="1"/>
  <c r="F52" i="6"/>
  <c r="F38" i="6"/>
  <c r="E38" i="6"/>
  <c r="J38" i="6"/>
  <c r="I38" i="6"/>
  <c r="H38" i="6"/>
  <c r="G38" i="6"/>
  <c r="J46" i="6"/>
  <c r="J52" i="6" s="1"/>
  <c r="I46" i="6"/>
  <c r="I52" i="6" s="1"/>
  <c r="G46" i="6"/>
  <c r="G52" i="6" s="1"/>
  <c r="D20" i="7" l="1"/>
  <c r="H14" i="7" l="1"/>
  <c r="F14" i="7"/>
  <c r="I14" i="7"/>
  <c r="G14" i="7"/>
  <c r="E14" i="7"/>
  <c r="C25" i="7"/>
  <c r="J39" i="6"/>
  <c r="D8" i="7"/>
  <c r="I39" i="6"/>
  <c r="H39" i="6"/>
  <c r="G39" i="6"/>
  <c r="F39" i="6"/>
  <c r="E39" i="6"/>
  <c r="J41" i="6" l="1"/>
  <c r="J62" i="6" s="1"/>
  <c r="J48" i="6"/>
  <c r="J50" i="6" s="1"/>
  <c r="J54" i="6" s="1"/>
  <c r="J61" i="6" s="1"/>
  <c r="J64" i="6" s="1"/>
  <c r="D10" i="7"/>
  <c r="E8" i="7"/>
  <c r="I41" i="6"/>
  <c r="I62" i="6" s="1"/>
  <c r="I48" i="6"/>
  <c r="I50" i="6" s="1"/>
  <c r="I54" i="6" s="1"/>
  <c r="I61" i="6" s="1"/>
  <c r="I64" i="6" s="1"/>
  <c r="H41" i="6"/>
  <c r="H62" i="6" s="1"/>
  <c r="H48" i="6"/>
  <c r="H50" i="6" s="1"/>
  <c r="H54" i="6" s="1"/>
  <c r="H61" i="6" s="1"/>
  <c r="G41" i="6"/>
  <c r="G62" i="6" s="1"/>
  <c r="G48" i="6"/>
  <c r="G50" i="6" s="1"/>
  <c r="G54" i="6" s="1"/>
  <c r="G61" i="6" s="1"/>
  <c r="G64" i="6" s="1"/>
  <c r="F41" i="6"/>
  <c r="F62" i="6" s="1"/>
  <c r="F48" i="6"/>
  <c r="F50" i="6" s="1"/>
  <c r="F54" i="6" s="1"/>
  <c r="E41" i="6"/>
  <c r="E48" i="6"/>
  <c r="E50" i="6" s="1"/>
  <c r="H64" i="6" l="1"/>
  <c r="F8" i="7"/>
  <c r="E10" i="7"/>
  <c r="E12" i="7" s="1"/>
  <c r="E16" i="7" s="1"/>
  <c r="J57" i="6"/>
  <c r="D11" i="7" s="1"/>
  <c r="D12" i="7" s="1"/>
  <c r="F61" i="6"/>
  <c r="F64" i="6" s="1"/>
  <c r="J56" i="6"/>
  <c r="G8" i="7" l="1"/>
  <c r="F10" i="7"/>
  <c r="F12" i="7" s="1"/>
  <c r="F16" i="7" s="1"/>
  <c r="J66" i="6"/>
  <c r="J67" i="6"/>
  <c r="H8" i="7" l="1"/>
  <c r="G10" i="7"/>
  <c r="G12" i="7" s="1"/>
  <c r="G16" i="7" s="1"/>
  <c r="I8" i="7" l="1"/>
  <c r="I10" i="7" s="1"/>
  <c r="I12" i="7" s="1"/>
  <c r="H10" i="7"/>
  <c r="H12" i="7" s="1"/>
  <c r="H16" i="7" s="1"/>
  <c r="C24" i="7" l="1"/>
  <c r="C28" i="7" s="1"/>
  <c r="C33" i="7" s="1"/>
  <c r="I16" i="7"/>
  <c r="C32" i="7" s="1"/>
  <c r="C34" i="7" l="1"/>
  <c r="C38" i="7" s="1"/>
  <c r="C40" i="7" s="1"/>
</calcChain>
</file>

<file path=xl/sharedStrings.xml><?xml version="1.0" encoding="utf-8"?>
<sst xmlns="http://schemas.openxmlformats.org/spreadsheetml/2006/main" count="232" uniqueCount="168">
  <si>
    <t>MAHINDRA AND MAHINDRA LTD PROJECT</t>
  </si>
  <si>
    <t>#</t>
  </si>
  <si>
    <t>EBITDA</t>
  </si>
  <si>
    <t>Interest</t>
  </si>
  <si>
    <t>Depreciation</t>
  </si>
  <si>
    <t>Other Income</t>
  </si>
  <si>
    <t>Tax</t>
  </si>
  <si>
    <t>Effective Tax Rate</t>
  </si>
  <si>
    <t>Equity Share Capital</t>
  </si>
  <si>
    <t>Reserves</t>
  </si>
  <si>
    <t>Borrowings</t>
  </si>
  <si>
    <t>Other Liabilities</t>
  </si>
  <si>
    <t>Total Liabilities</t>
  </si>
  <si>
    <t>Capital Work in Progress</t>
  </si>
  <si>
    <t>Investments</t>
  </si>
  <si>
    <t>Other Assets</t>
  </si>
  <si>
    <t>Receivables</t>
  </si>
  <si>
    <t>Inventory</t>
  </si>
  <si>
    <t>Cash &amp; Bank</t>
  </si>
  <si>
    <t>Total Assets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</si>
  <si>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</si>
  <si>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</si>
  <si>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</si>
  <si>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</si>
  <si>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</si>
  <si>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</si>
  <si>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</si>
  <si>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</si>
  <si>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</si>
  <si>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</si>
  <si>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</si>
  <si>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</si>
  <si>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Investment in group cos</t>
  </si>
  <si>
    <t>Issue of shares on acq</t>
  </si>
  <si>
    <t>Redemp n Canc of Shares</t>
  </si>
  <si>
    <t>Acquisition of companies</t>
  </si>
  <si>
    <t>Inter corporate deposits</t>
  </si>
  <si>
    <t>Other investing items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</si>
  <si>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</si>
  <si>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</si>
  <si>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</si>
  <si>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</si>
  <si>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</si>
  <si>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</si>
  <si>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</si>
  <si>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Net Cash Flow</t>
  </si>
  <si>
    <t>Tax Rate</t>
  </si>
  <si>
    <t>Market Capitalization</t>
  </si>
  <si>
    <t>Equity Capital</t>
  </si>
  <si>
    <t xml:space="preserve"> Calculation of ROIC</t>
  </si>
  <si>
    <t>Current Asset</t>
  </si>
  <si>
    <t>Total Current Assets</t>
  </si>
  <si>
    <t>Current Liabilities</t>
  </si>
  <si>
    <t>Total Current Liabilities</t>
  </si>
  <si>
    <t>Net Working Capital</t>
  </si>
  <si>
    <t>Non Current Asset</t>
  </si>
  <si>
    <t>Gross Block</t>
  </si>
  <si>
    <t>Accumulated Deprication</t>
  </si>
  <si>
    <t>Net Non Current Asset</t>
  </si>
  <si>
    <t>Invested Capital</t>
  </si>
  <si>
    <t>EBIT</t>
  </si>
  <si>
    <t>ROIC</t>
  </si>
  <si>
    <t xml:space="preserve"> Calculation of Reinvestment Rate</t>
  </si>
  <si>
    <t>Net Capex</t>
  </si>
  <si>
    <t>Change in working capital</t>
  </si>
  <si>
    <t>Marginal Tax</t>
  </si>
  <si>
    <t>EBIT(1-T)</t>
  </si>
  <si>
    <t>Reinvestment</t>
  </si>
  <si>
    <t>Reinvestment Rate</t>
  </si>
  <si>
    <t>4 Years Average</t>
  </si>
  <si>
    <t>4 Years Median</t>
  </si>
  <si>
    <t xml:space="preserve"> Calculation of Growth Rate</t>
  </si>
  <si>
    <t xml:space="preserve">Reinvestment rate </t>
  </si>
  <si>
    <t>Intrinsic Growth</t>
  </si>
  <si>
    <t>Calculation of PV of FCF</t>
  </si>
  <si>
    <t>Less: Reinvestment Rate</t>
  </si>
  <si>
    <t>Free Cash Flow to Firm (FCFF)</t>
  </si>
  <si>
    <t>Mid Year Convention</t>
  </si>
  <si>
    <t>Discounting Factor</t>
  </si>
  <si>
    <t>PV of FCFF</t>
  </si>
  <si>
    <t>Expected Growth</t>
  </si>
  <si>
    <t>Terminal Value</t>
  </si>
  <si>
    <t>WACC</t>
  </si>
  <si>
    <t>Calculation of Terminal Value</t>
  </si>
  <si>
    <t>FCF (n+1)</t>
  </si>
  <si>
    <t>Terminal Growth Rate</t>
  </si>
  <si>
    <t>Calculation of Enterprise Value</t>
  </si>
  <si>
    <t>PV of Terminal Value</t>
  </si>
  <si>
    <t>Value of Operating Asset</t>
  </si>
  <si>
    <t>Add : cash</t>
  </si>
  <si>
    <t>Less : Debt</t>
  </si>
  <si>
    <t>Value of Equity</t>
  </si>
  <si>
    <t>No. of Shares</t>
  </si>
  <si>
    <t>Value per Share</t>
  </si>
  <si>
    <t>Cash from Operating Activity -</t>
  </si>
  <si>
    <t>Cash from Investing Activity -</t>
  </si>
  <si>
    <t>Cash from Financing Activity -</t>
  </si>
  <si>
    <t>Free Cash Flow</t>
  </si>
  <si>
    <t>CFO/OP</t>
  </si>
  <si>
    <t>particulars</t>
  </si>
  <si>
    <t>Borrowings -</t>
  </si>
  <si>
    <t>Long term Borrowings</t>
  </si>
  <si>
    <t>Short term Borrowings</t>
  </si>
  <si>
    <t>Lease Liabilities</t>
  </si>
  <si>
    <t>Preference Capital</t>
  </si>
  <si>
    <t>Other Borrowings</t>
  </si>
  <si>
    <t>Other Liabilities -</t>
  </si>
  <si>
    <t>Non controlling int</t>
  </si>
  <si>
    <t>Trade Payables</t>
  </si>
  <si>
    <t>Advance from Customers</t>
  </si>
  <si>
    <t>Other liability items</t>
  </si>
  <si>
    <t>Fixed Assets -</t>
  </si>
  <si>
    <t>Land</t>
  </si>
  <si>
    <t>Building</t>
  </si>
  <si>
    <t>Plant Machinery</t>
  </si>
  <si>
    <t>Equipments</t>
  </si>
  <si>
    <t>Furniture n fittings</t>
  </si>
  <si>
    <t>Vehicles</t>
  </si>
  <si>
    <t>Intangible Assets</t>
  </si>
  <si>
    <t>Other fixed assets</t>
  </si>
  <si>
    <t>Accumulated Depreciation</t>
  </si>
  <si>
    <t>Net Block</t>
  </si>
  <si>
    <t>CWIP</t>
  </si>
  <si>
    <t>Other Assets -</t>
  </si>
  <si>
    <t>Inventories</t>
  </si>
  <si>
    <t xml:space="preserve">Trade receivables </t>
  </si>
  <si>
    <t>Cash Equivalents</t>
  </si>
  <si>
    <t>Loans n Advances</t>
  </si>
  <si>
    <t>Other asset items</t>
  </si>
  <si>
    <t>COMPANY NAME</t>
  </si>
  <si>
    <t>MAHINDRA &amp; MAHINDRA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</si>
  <si>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</si>
  <si>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</si>
  <si>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</si>
  <si>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</si>
  <si>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</si>
  <si>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</si>
  <si>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</si>
  <si>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PROFIT &amp; LOSS</t>
  </si>
  <si>
    <t>Report Date</t>
  </si>
  <si>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</si>
  <si>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</si>
  <si>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</si>
  <si>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</si>
  <si>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</si>
  <si>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</si>
  <si>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</si>
  <si>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</si>
  <si>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Profit before tax</t>
  </si>
  <si>
    <t>Net profit</t>
  </si>
  <si>
    <t>Dividend Amount</t>
  </si>
  <si>
    <t>Quarters</t>
  </si>
  <si>
    <t>Expenses</t>
  </si>
  <si>
    <t>Operating Profit</t>
  </si>
  <si>
    <t>BALANCE SHEET</t>
  </si>
  <si>
    <t>Total</t>
  </si>
  <si>
    <t>No. of Equity Shares</t>
  </si>
  <si>
    <t>New Bonus Shares</t>
  </si>
  <si>
    <t>Face value</t>
  </si>
  <si>
    <t>other assest</t>
  </si>
  <si>
    <t>total asset</t>
  </si>
  <si>
    <t>CASH FLOW:</t>
  </si>
  <si>
    <t>Cash from Operating Activity</t>
  </si>
  <si>
    <t>Cash from Investing Activity</t>
  </si>
  <si>
    <t>Cash from Financing Activity</t>
  </si>
  <si>
    <t>PRICE:</t>
  </si>
  <si>
    <t>DERIVED:</t>
  </si>
  <si>
    <t>Adjusted Equity Shares in 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</si>
</sst>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\-??_);_(@_)"/>
    <numFmt numFmtId="165" formatCode="mmm\-yy"/>
    <numFmt numFmtId="168" formatCode="_ * #,##0.00_ ;_ * \-#,##0.00_ ;_ * \-??_ ;_ @_ "/>
    <numFmt numFmtId="171" formatCode="#,##0.0"/>
    <numFmt numFmtId="175" formatCode="#,##0.0;\(#,##0.0\);\-"/>
    <numFmt numFmtId="176" formatCode="#,##0.00;\(#,##0.00\);\-"/>
    <numFmt numFmtId="177" formatCode="0.000"/>
    <numFmt numFmtId="178" formatCode="[$-409]mmm\-yy;@"/>
  </numFmts>
  <fonts count="20" x14ac:knownFonts="1">
    <font>
      <sz val="11"/>
      <color theme="1"/>
      <name val="Calibri"/>
      <family val="2"/>
      <charset val="1"/>
    </font>
    <font>
      <sz val="11"/>
      <color theme="0"/>
      <name val="Aptos Narrow"/>
      <family val="2"/>
      <charset val="1"/>
    </font>
    <font>
      <sz val="11"/>
      <color theme="1"/>
      <name val="Aptos Narrow"/>
      <family val="2"/>
      <charset val="1"/>
    </font>
    <font>
      <u/>
      <sz val="11"/>
      <color theme="10"/>
      <name val="calibri"/>
      <family val="2"/>
      <charset val="1"/>
    </font>
    <font>
      <sz val="11"/>
      <color theme="1"/>
      <name val="Arial Narrow"/>
      <family val="2"/>
      <charset val="1"/>
    </font>
    <font>
      <b/>
      <sz val="16"/>
      <color theme="0"/>
      <name val="Calibri"/>
      <family val="2"/>
      <charset val="1"/>
    </font>
    <font>
      <b/>
      <sz val="11"/>
      <color theme="0"/>
      <name val="Calibri"/>
      <family val="2"/>
      <charset val="1"/>
    </font>
    <font>
      <sz val="11"/>
      <color theme="0"/>
      <name val="Calibri"/>
      <family val="2"/>
      <charset val="1"/>
    </font>
    <font>
      <b/>
      <sz val="11"/>
      <color theme="1"/>
      <name val="Calibri"/>
      <family val="2"/>
      <charset val="1"/>
    </font>
    <font>
      <sz val="10"/>
      <color theme="1"/>
      <name val="Arial"/>
      <family val="2"/>
      <charset val="1"/>
    </font>
    <font>
      <b/>
      <sz val="10"/>
      <color theme="1"/>
      <name val="Arial"/>
      <family val="2"/>
      <charset val="1"/>
    </font>
    <font>
      <b/>
      <sz val="12"/>
      <color theme="0"/>
      <name val="Calibri"/>
      <family val="2"/>
      <charset val="1"/>
    </font>
    <font>
      <sz val="11"/>
      <color rgb="FF3333FF"/>
      <name val="Calibri"/>
      <family val="2"/>
      <charset val="1"/>
    </font>
    <font>
      <sz val="10"/>
      <color rgb="FF008000"/>
      <name val="Arial"/>
      <charset val="1"/>
    </font>
    <font>
      <b/>
      <sz val="10"/>
      <color rgb="FF000000"/>
      <name val="Arial"/>
      <charset val="1"/>
    </font>
    <font>
      <sz val="11"/>
      <color rgb="FF606F7B"/>
      <name val="Arial"/>
      <family val="2"/>
      <charset val="1"/>
    </font>
    <font>
      <sz val="11"/>
      <color rgb="FF22222F"/>
      <name val="Arial"/>
      <family val="2"/>
      <charset val="1"/>
    </font>
    <font>
      <u/>
      <sz val="10"/>
      <color theme="10"/>
      <name val="Arial"/>
      <family val="2"/>
      <charset val="1"/>
    </font>
    <font>
      <b/>
      <sz val="10"/>
      <color theme="0"/>
      <name val="Arial"/>
      <family val="2"/>
      <charset val="1"/>
    </font>
    <font>
      <sz val="10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9"/>
        <bgColor rgb="FF808000"/>
      </patternFill>
    </fill>
    <fill>
      <patternFill patternType="solid">
        <fgColor rgb="FF1F4E78"/>
        <bgColor rgb="FF444444"/>
      </patternFill>
    </fill>
    <fill>
      <patternFill patternType="solid">
        <fgColor theme="0" tint="-0.14999847407452621"/>
        <bgColor rgb="FFDBE4F0"/>
      </patternFill>
    </fill>
    <fill>
      <patternFill patternType="solid">
        <fgColor rgb="FFFFFFFF"/>
        <bgColor rgb="FFF8F8FC"/>
      </patternFill>
    </fill>
    <fill>
      <patternFill patternType="solid">
        <fgColor rgb="FFF8F8FC"/>
        <bgColor rgb="FFF2F2F2"/>
      </patternFill>
    </fill>
    <fill>
      <patternFill patternType="solid">
        <fgColor rgb="FF0275D8"/>
        <bgColor rgb="FF008080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rgb="FFDBE4F0"/>
      </bottom>
      <diagonal/>
    </border>
    <border>
      <left/>
      <right/>
      <top style="medium">
        <color rgb="FFDBE4F0"/>
      </top>
      <bottom/>
      <diagonal/>
    </border>
  </borders>
  <cellStyleXfs count="7">
    <xf numFmtId="0" fontId="0" fillId="0" borderId="0"/>
    <xf numFmtId="0" fontId="1" fillId="2" borderId="0"/>
    <xf numFmtId="164" fontId="2" fillId="0" borderId="0"/>
    <xf numFmtId="0" fontId="3" fillId="0" borderId="0">
      <alignment vertical="top"/>
      <protection locked="0"/>
    </xf>
    <xf numFmtId="0" fontId="4" fillId="0" borderId="0"/>
    <xf numFmtId="0" fontId="2" fillId="0" borderId="0"/>
    <xf numFmtId="9" fontId="2" fillId="0" borderId="0"/>
  </cellStyleXfs>
  <cellXfs count="83">
    <xf numFmtId="0" fontId="0" fillId="0" borderId="0" xfId="0"/>
    <xf numFmtId="165" fontId="7" fillId="3" borderId="0" xfId="0" applyNumberFormat="1" applyFont="1" applyFill="1"/>
    <xf numFmtId="10" fontId="0" fillId="0" borderId="0" xfId="0" applyNumberFormat="1"/>
    <xf numFmtId="168" fontId="9" fillId="0" borderId="0" xfId="0" applyNumberFormat="1" applyFont="1"/>
    <xf numFmtId="168" fontId="10" fillId="0" borderId="0" xfId="0" applyNumberFormat="1" applyFont="1"/>
    <xf numFmtId="0" fontId="8" fillId="0" borderId="0" xfId="0" applyFont="1"/>
    <xf numFmtId="3" fontId="0" fillId="0" borderId="0" xfId="0" applyNumberFormat="1"/>
    <xf numFmtId="0" fontId="8" fillId="0" borderId="2" xfId="0" applyFont="1" applyBorder="1"/>
    <xf numFmtId="0" fontId="8" fillId="0" borderId="1" xfId="0" applyFont="1" applyBorder="1"/>
    <xf numFmtId="0" fontId="8" fillId="0" borderId="3" xfId="0" applyFont="1" applyBorder="1"/>
    <xf numFmtId="165" fontId="0" fillId="0" borderId="0" xfId="0" applyNumberFormat="1"/>
    <xf numFmtId="168" fontId="0" fillId="0" borderId="0" xfId="0" applyNumberFormat="1"/>
    <xf numFmtId="165" fontId="8" fillId="0" borderId="0" xfId="0" applyNumberFormat="1" applyFont="1"/>
    <xf numFmtId="168" fontId="8" fillId="0" borderId="0" xfId="0" applyNumberFormat="1" applyFont="1"/>
    <xf numFmtId="165" fontId="7" fillId="3" borderId="0" xfId="0" applyNumberFormat="1" applyFont="1" applyFill="1" applyAlignment="1">
      <alignment horizontal="center" vertical="center"/>
    </xf>
    <xf numFmtId="165" fontId="7" fillId="3" borderId="0" xfId="0" applyNumberFormat="1" applyFont="1" applyFill="1" applyAlignment="1">
      <alignment horizontal="right" vertical="center"/>
    </xf>
    <xf numFmtId="0" fontId="11" fillId="3" borderId="0" xfId="0" applyFont="1" applyFill="1" applyAlignment="1">
      <alignment vertical="center"/>
    </xf>
    <xf numFmtId="0" fontId="0" fillId="0" borderId="2" xfId="0" applyBorder="1"/>
    <xf numFmtId="0" fontId="0" fillId="4" borderId="0" xfId="0" applyFill="1"/>
    <xf numFmtId="0" fontId="0" fillId="0" borderId="0" xfId="0" applyAlignment="1">
      <alignment wrapText="1"/>
    </xf>
    <xf numFmtId="0" fontId="6" fillId="3" borderId="0" xfId="0" applyFont="1" applyFill="1" applyAlignment="1">
      <alignment vertical="center"/>
    </xf>
    <xf numFmtId="0" fontId="0" fillId="0" borderId="1" xfId="0" applyBorder="1"/>
    <xf numFmtId="175" fontId="0" fillId="0" borderId="1" xfId="0" applyNumberFormat="1" applyBorder="1"/>
    <xf numFmtId="175" fontId="0" fillId="0" borderId="0" xfId="0" applyNumberFormat="1"/>
    <xf numFmtId="175" fontId="8" fillId="0" borderId="2" xfId="0" applyNumberFormat="1" applyFont="1" applyBorder="1"/>
    <xf numFmtId="0" fontId="8" fillId="0" borderId="4" xfId="0" applyFont="1" applyBorder="1"/>
    <xf numFmtId="0" fontId="0" fillId="0" borderId="4" xfId="0" applyBorder="1"/>
    <xf numFmtId="171" fontId="0" fillId="0" borderId="4" xfId="0" applyNumberFormat="1" applyBorder="1"/>
    <xf numFmtId="175" fontId="0" fillId="0" borderId="4" xfId="0" applyNumberFormat="1" applyBorder="1"/>
    <xf numFmtId="175" fontId="8" fillId="0" borderId="0" xfId="0" applyNumberFormat="1" applyFont="1"/>
    <xf numFmtId="10" fontId="8" fillId="0" borderId="4" xfId="0" applyNumberFormat="1" applyFont="1" applyBorder="1"/>
    <xf numFmtId="176" fontId="12" fillId="0" borderId="1" xfId="0" applyNumberFormat="1" applyFont="1" applyBorder="1"/>
    <xf numFmtId="175" fontId="8" fillId="0" borderId="4" xfId="0" applyNumberFormat="1" applyFont="1" applyBorder="1"/>
    <xf numFmtId="10" fontId="0" fillId="4" borderId="0" xfId="0" applyNumberFormat="1" applyFill="1"/>
    <xf numFmtId="10" fontId="0" fillId="0" borderId="1" xfId="0" applyNumberFormat="1" applyBorder="1"/>
    <xf numFmtId="165" fontId="6" fillId="3" borderId="0" xfId="0" applyNumberFormat="1" applyFont="1" applyFill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3" fillId="0" borderId="0" xfId="0" applyFont="1"/>
    <xf numFmtId="0" fontId="14" fillId="0" borderId="1" xfId="0" applyFont="1" applyBorder="1"/>
    <xf numFmtId="168" fontId="0" fillId="0" borderId="1" xfId="0" applyNumberFormat="1" applyBorder="1" applyAlignment="1">
      <alignment vertical="center"/>
    </xf>
    <xf numFmtId="10" fontId="12" fillId="0" borderId="1" xfId="0" applyNumberFormat="1" applyFont="1" applyBorder="1" applyAlignment="1">
      <alignment vertical="center"/>
    </xf>
    <xf numFmtId="177" fontId="0" fillId="0" borderId="1" xfId="0" applyNumberFormat="1" applyBorder="1"/>
    <xf numFmtId="168" fontId="0" fillId="0" borderId="4" xfId="0" applyNumberFormat="1" applyBorder="1"/>
    <xf numFmtId="177" fontId="8" fillId="0" borderId="0" xfId="0" applyNumberFormat="1" applyFont="1"/>
    <xf numFmtId="165" fontId="15" fillId="5" borderId="5" xfId="0" applyNumberFormat="1" applyFont="1" applyFill="1" applyBorder="1" applyAlignment="1">
      <alignment horizontal="right" vertical="center" wrapText="1"/>
    </xf>
    <xf numFmtId="0" fontId="16" fillId="6" borderId="6" xfId="0" applyFont="1" applyFill="1" applyBorder="1" applyAlignment="1">
      <alignment horizontal="left" vertical="center" indent="2"/>
    </xf>
    <xf numFmtId="0" fontId="16" fillId="6" borderId="6" xfId="0" applyFont="1" applyFill="1" applyBorder="1" applyAlignment="1">
      <alignment horizontal="right" vertical="center" wrapText="1"/>
    </xf>
    <xf numFmtId="3" fontId="16" fillId="6" borderId="6" xfId="0" applyNumberFormat="1" applyFont="1" applyFill="1" applyBorder="1" applyAlignment="1">
      <alignment horizontal="right" vertical="center" wrapText="1"/>
    </xf>
    <xf numFmtId="0" fontId="16" fillId="6" borderId="6" xfId="0" applyFont="1" applyFill="1" applyBorder="1" applyAlignment="1">
      <alignment horizontal="left" vertical="center"/>
    </xf>
    <xf numFmtId="0" fontId="16" fillId="6" borderId="0" xfId="0" applyFont="1" applyFill="1" applyAlignment="1">
      <alignment horizontal="left" vertical="center"/>
    </xf>
    <xf numFmtId="3" fontId="16" fillId="6" borderId="0" xfId="0" applyNumberFormat="1" applyFont="1" applyFill="1" applyAlignment="1">
      <alignment horizontal="right" vertical="center" wrapText="1"/>
    </xf>
    <xf numFmtId="0" fontId="16" fillId="6" borderId="0" xfId="0" applyFont="1" applyFill="1" applyAlignment="1">
      <alignment horizontal="right" vertical="center" wrapText="1"/>
    </xf>
    <xf numFmtId="9" fontId="0" fillId="0" borderId="0" xfId="0" applyNumberFormat="1"/>
    <xf numFmtId="0" fontId="16" fillId="5" borderId="6" xfId="0" applyFont="1" applyFill="1" applyBorder="1" applyAlignment="1">
      <alignment horizontal="left" vertical="center" indent="2"/>
    </xf>
    <xf numFmtId="3" fontId="16" fillId="5" borderId="6" xfId="0" applyNumberFormat="1" applyFont="1" applyFill="1" applyBorder="1" applyAlignment="1">
      <alignment horizontal="right" vertical="center" wrapText="1"/>
    </xf>
    <xf numFmtId="0" fontId="16" fillId="5" borderId="0" xfId="0" applyFont="1" applyFill="1" applyAlignment="1">
      <alignment horizontal="left" vertical="center"/>
    </xf>
    <xf numFmtId="3" fontId="16" fillId="5" borderId="0" xfId="0" applyNumberFormat="1" applyFont="1" applyFill="1" applyAlignment="1">
      <alignment horizontal="right" vertical="center" wrapText="1"/>
    </xf>
    <xf numFmtId="0" fontId="16" fillId="5" borderId="0" xfId="0" applyFont="1" applyFill="1" applyAlignment="1">
      <alignment horizontal="right" vertical="center" wrapText="1"/>
    </xf>
    <xf numFmtId="0" fontId="16" fillId="5" borderId="6" xfId="0" applyFont="1" applyFill="1" applyBorder="1" applyAlignment="1">
      <alignment horizontal="right" vertical="center" wrapText="1"/>
    </xf>
    <xf numFmtId="0" fontId="15" fillId="6" borderId="0" xfId="0" applyFont="1" applyFill="1" applyAlignment="1">
      <alignment horizontal="left" vertical="center" indent="2"/>
    </xf>
    <xf numFmtId="3" fontId="15" fillId="6" borderId="0" xfId="0" applyNumberFormat="1" applyFont="1" applyFill="1" applyAlignment="1">
      <alignment horizontal="right" vertical="center" wrapText="1"/>
    </xf>
    <xf numFmtId="0" fontId="15" fillId="5" borderId="0" xfId="0" applyFont="1" applyFill="1" applyAlignment="1">
      <alignment horizontal="left" vertical="center" indent="2"/>
    </xf>
    <xf numFmtId="9" fontId="15" fillId="5" borderId="0" xfId="0" applyNumberFormat="1" applyFont="1" applyFill="1" applyAlignment="1">
      <alignment horizontal="right" vertical="center" wrapText="1"/>
    </xf>
    <xf numFmtId="165" fontId="11" fillId="3" borderId="0" xfId="0" applyNumberFormat="1" applyFont="1" applyFill="1" applyAlignment="1">
      <alignment vertical="center"/>
    </xf>
    <xf numFmtId="3" fontId="0" fillId="0" borderId="1" xfId="0" applyNumberFormat="1" applyBorder="1"/>
    <xf numFmtId="3" fontId="8" fillId="0" borderId="1" xfId="0" applyNumberFormat="1" applyFont="1" applyBorder="1"/>
    <xf numFmtId="175" fontId="8" fillId="0" borderId="1" xfId="0" applyNumberFormat="1" applyFont="1" applyBorder="1"/>
    <xf numFmtId="3" fontId="8" fillId="0" borderId="0" xfId="0" applyNumberFormat="1" applyFont="1"/>
    <xf numFmtId="3" fontId="0" fillId="0" borderId="3" xfId="0" applyNumberFormat="1" applyBorder="1"/>
    <xf numFmtId="175" fontId="0" fillId="0" borderId="3" xfId="0" applyNumberFormat="1" applyBorder="1"/>
    <xf numFmtId="175" fontId="0" fillId="0" borderId="2" xfId="0" applyNumberFormat="1" applyBorder="1"/>
    <xf numFmtId="0" fontId="9" fillId="0" borderId="0" xfId="0" applyFont="1"/>
    <xf numFmtId="178" fontId="18" fillId="7" borderId="0" xfId="0" applyNumberFormat="1" applyFont="1" applyFill="1"/>
    <xf numFmtId="178" fontId="18" fillId="7" borderId="0" xfId="0" applyNumberFormat="1" applyFont="1" applyFill="1" applyAlignment="1">
      <alignment horizontal="center"/>
    </xf>
    <xf numFmtId="178" fontId="19" fillId="0" borderId="0" xfId="0" applyNumberFormat="1" applyFont="1"/>
    <xf numFmtId="0" fontId="2" fillId="0" borderId="0" xfId="0" applyFont="1"/>
    <xf numFmtId="9" fontId="9" fillId="0" borderId="0" xfId="0" applyNumberFormat="1" applyFont="1"/>
    <xf numFmtId="0" fontId="4" fillId="0" borderId="0" xfId="0" applyFont="1"/>
    <xf numFmtId="164" fontId="9" fillId="0" borderId="0" xfId="0" applyNumberFormat="1" applyFont="1"/>
    <xf numFmtId="0" fontId="5" fillId="3" borderId="0" xfId="0" applyFont="1" applyFill="1" applyAlignment="1">
      <alignment horizontal="center" vertical="center"/>
    </xf>
    <xf numFmtId="168" fontId="17" fillId="0" borderId="0" xfId="0" applyNumberFormat="1" applyFont="1" applyAlignment="1">
      <alignment horizontal="center"/>
    </xf>
    <xf numFmtId="168" fontId="18" fillId="2" borderId="0" xfId="0" applyNumberFormat="1" applyFont="1" applyFill="1" applyAlignment="1">
      <alignment horizontal="center"/>
    </xf>
  </cellXfs>
  <cellStyles count="7">
    <cellStyle name="Accent6 2" xfId="1" xr:uid="{00000000-0005-0000-0000-000006000000}"/>
    <cellStyle name="Comma 2" xfId="2" xr:uid="{00000000-0005-0000-0000-000007000000}"/>
    <cellStyle name="Hyperlink 2" xfId="3" xr:uid="{00000000-0005-0000-0000-000008000000}"/>
    <cellStyle name="Normal" xfId="0" builtinId="0"/>
    <cellStyle name="Normal 2" xfId="4" xr:uid="{00000000-0005-0000-0000-000009000000}"/>
    <cellStyle name="Normal 3" xfId="5" xr:uid="{00000000-0005-0000-0000-00000A000000}"/>
    <cellStyle name="Percent 3" xfId="6" xr:uid="{00000000-0005-0000-0000-00000B000000}"/>
  </cellStyles>
  <dxfs count="1">
    <dxf>
      <font>
        <b/>
        <color rgb="FFFFFFFF"/>
      </font>
      <fill>
        <patternFill>
          <bgColor theme="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67886"/>
      <rgbColor rgb="FFC0C0C0"/>
      <rgbColor rgb="FF808080"/>
      <rgbColor rgb="FF9999FF"/>
      <rgbColor rgb="FF993366"/>
      <rgbColor rgb="FFF8F8FC"/>
      <rgbColor rgb="FFDDEBF7"/>
      <rgbColor rgb="FF660066"/>
      <rgbColor rgb="FFFF8080"/>
      <rgbColor rgb="FF0275D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4F0"/>
      <rgbColor rgb="FFF2F2F2"/>
      <rgbColor rgb="FFFFFF99"/>
      <rgbColor rgb="FF99CCFF"/>
      <rgbColor rgb="FFFF99CC"/>
      <rgbColor rgb="FFCC99FF"/>
      <rgbColor rgb="FFFFCC99"/>
      <rgbColor rgb="FF3333FF"/>
      <rgbColor rgb="FF33CCCC"/>
      <rgbColor rgb="FF99CC00"/>
      <rgbColor rgb="FFFFCC00"/>
      <rgbColor rgb="FFFF9900"/>
      <rgbColor rgb="FFE97132"/>
      <rgbColor rgb="FF606F7B"/>
      <rgbColor rgb="FF969696"/>
      <rgbColor rgb="FF444444"/>
      <rgbColor rgb="FF4EA72E"/>
      <rgbColor rgb="FF003300"/>
      <rgbColor rgb="FF22222F"/>
      <rgbColor rgb="FF993300"/>
      <rgbColor rgb="FF993366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cuments/M%5e0M%20Project%20model.xlsx" TargetMode="External"/><Relationship Id="rId2" Type="http://schemas.openxmlformats.org/officeDocument/2006/relationships/externalLinkPath" Target="https://d.docs.live.net/6f9b90f4dd225b2b/Documents/M%5e0M%20Project%20model.xlsx" TargetMode="External"/><Relationship Id="rId1" Type="http://schemas.openxmlformats.org/officeDocument/2006/relationships/externalLinkPath" Target="/6f9b90f4dd225b2b/Documents/M%5e0M%20Project%20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&amp;M PROJECT 3 Statement"/>
      <sheetName val="Common size statement"/>
      <sheetName val="Ratio Analysis"/>
      <sheetName val="DCF (WACC)"/>
      <sheetName val="Beta-Regression"/>
    </sheetNames>
    <sheetDataSet>
      <sheetData sheetId="0">
        <row r="22">
          <cell r="C22">
            <v>10157.749999999989</v>
          </cell>
          <cell r="D22">
            <v>11487.020000000004</v>
          </cell>
          <cell r="E22">
            <v>14682.85000000002</v>
          </cell>
          <cell r="F22">
            <v>20285.290000000015</v>
          </cell>
          <cell r="G22">
            <v>24891.929999999993</v>
          </cell>
          <cell r="H22">
            <v>30518.190000000002</v>
          </cell>
        </row>
        <row r="28">
          <cell r="C28">
            <v>3366.68</v>
          </cell>
          <cell r="D28">
            <v>3378.11</v>
          </cell>
          <cell r="E28">
            <v>3507.5</v>
          </cell>
          <cell r="F28">
            <v>4356.8100000000004</v>
          </cell>
          <cell r="G28">
            <v>4723.78</v>
          </cell>
          <cell r="H28">
            <v>6073.65</v>
          </cell>
        </row>
        <row r="55">
          <cell r="H55">
            <v>129024.58</v>
          </cell>
        </row>
      </sheetData>
      <sheetData sheetId="1"/>
      <sheetData sheetId="2"/>
      <sheetData sheetId="3">
        <row r="44">
          <cell r="J44">
            <v>0.11516425333766347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7"/>
  <sheetViews>
    <sheetView showGridLines="0" zoomScaleNormal="100" workbookViewId="0">
      <selection activeCell="F52" sqref="F52"/>
    </sheetView>
  </sheetViews>
  <sheetFormatPr defaultColWidth="8.6640625" defaultRowHeight="14.4" x14ac:dyDescent="0.3"/>
  <cols>
    <col min="1" max="1" width="1.88671875" customWidth="1"/>
    <col min="3" max="3" width="19.88671875" customWidth="1"/>
    <col min="5" max="5" width="11.109375" customWidth="1"/>
    <col min="6" max="6" width="13.5546875" customWidth="1"/>
    <col min="7" max="7" width="13.33203125" customWidth="1"/>
    <col min="8" max="8" width="14.109375" customWidth="1"/>
    <col min="9" max="9" width="13.33203125" customWidth="1"/>
    <col min="10" max="10" width="12.44140625" customWidth="1"/>
  </cols>
  <sheetData>
    <row r="1" spans="1:10" ht="14.25" customHeight="1" x14ac:dyDescent="0.3">
      <c r="A1" s="19"/>
    </row>
    <row r="3" spans="1:10" ht="21" customHeight="1" x14ac:dyDescent="0.3">
      <c r="B3" s="80" t="s">
        <v>0</v>
      </c>
      <c r="C3" s="80"/>
      <c r="D3" s="80"/>
      <c r="E3" s="80"/>
      <c r="F3" s="80"/>
      <c r="G3" s="80"/>
      <c r="H3" s="80"/>
      <c r="I3" s="80"/>
      <c r="J3" s="80"/>
    </row>
    <row r="4" spans="1:10" ht="21" customHeight="1" x14ac:dyDescent="0.3">
      <c r="B4" s="80"/>
      <c r="C4" s="80"/>
      <c r="D4" s="80"/>
      <c r="E4" s="80"/>
      <c r="F4" s="80"/>
      <c r="G4" s="80"/>
      <c r="H4" s="80"/>
      <c r="I4" s="80"/>
      <c r="J4" s="80"/>
    </row>
    <row r="5" spans="1:10" ht="21" customHeight="1" x14ac:dyDescent="0.3">
      <c r="B5" s="80"/>
      <c r="C5" s="80"/>
      <c r="D5" s="80"/>
      <c r="E5" s="80"/>
      <c r="F5" s="80"/>
      <c r="G5" s="80"/>
      <c r="H5" s="80"/>
      <c r="I5" s="80"/>
      <c r="J5" s="80"/>
    </row>
    <row r="8" spans="1:10" ht="15" customHeight="1" x14ac:dyDescent="0.3">
      <c r="B8" s="20" t="s">
        <v>49</v>
      </c>
      <c r="C8" s="20"/>
      <c r="D8" s="16"/>
      <c r="E8" s="1">
        <v>43921</v>
      </c>
      <c r="F8" s="1">
        <v>44286</v>
      </c>
      <c r="G8" s="1">
        <v>44651</v>
      </c>
      <c r="H8" s="1">
        <v>45016</v>
      </c>
      <c r="I8" s="1">
        <v>45382</v>
      </c>
      <c r="J8" s="1">
        <v>45747</v>
      </c>
    </row>
    <row r="10" spans="1:10" ht="14.25" customHeight="1" x14ac:dyDescent="0.3">
      <c r="B10" s="5" t="s">
        <v>50</v>
      </c>
    </row>
    <row r="11" spans="1:10" ht="14.25" customHeight="1" x14ac:dyDescent="0.3">
      <c r="B11" s="21" t="str">
        <f>'Raw Data (Source)'!D123</f>
        <v>Inventories</v>
      </c>
      <c r="C11" s="21"/>
      <c r="D11" s="21"/>
      <c r="E11" s="22">
        <f>'Raw Data (Source)'!K123</f>
        <v>11112</v>
      </c>
      <c r="F11" s="22">
        <f>'Raw Data (Source)'!L123</f>
        <v>9615</v>
      </c>
      <c r="G11" s="22">
        <f>'Raw Data (Source)'!M123</f>
        <v>11596</v>
      </c>
      <c r="H11" s="22">
        <f>'Raw Data (Source)'!N123</f>
        <v>16855</v>
      </c>
      <c r="I11" s="22">
        <f>'Raw Data (Source)'!O123</f>
        <v>18590</v>
      </c>
      <c r="J11" s="22">
        <f>'Raw Data (Source)'!P123</f>
        <v>20331</v>
      </c>
    </row>
    <row r="12" spans="1:10" ht="14.25" customHeight="1" x14ac:dyDescent="0.3">
      <c r="B12" s="21" t="str">
        <f>'Raw Data (Source)'!D124</f>
        <v xml:space="preserve">Trade receivables </v>
      </c>
      <c r="C12" s="21"/>
      <c r="D12" s="21"/>
      <c r="E12" s="22">
        <f>'Raw Data (Source)'!K124</f>
        <v>6928</v>
      </c>
      <c r="F12" s="22">
        <f>'Raw Data (Source)'!L124</f>
        <v>6008</v>
      </c>
      <c r="G12" s="22">
        <f>'Raw Data (Source)'!M124</f>
        <v>6374</v>
      </c>
      <c r="H12" s="22">
        <f>'Raw Data (Source)'!N124</f>
        <v>7028</v>
      </c>
      <c r="I12" s="22">
        <f>'Raw Data (Source)'!O124</f>
        <v>7459</v>
      </c>
      <c r="J12" s="22">
        <f>'Raw Data (Source)'!P124</f>
        <v>8280</v>
      </c>
    </row>
    <row r="13" spans="1:10" ht="14.25" customHeight="1" x14ac:dyDescent="0.3">
      <c r="B13" s="21" t="str">
        <f>'Raw Data (Source)'!D126</f>
        <v>Loans n Advances</v>
      </c>
      <c r="C13" s="21"/>
      <c r="D13" s="21"/>
      <c r="E13" s="22">
        <f>'Raw Data (Source)'!K126</f>
        <v>27859</v>
      </c>
      <c r="F13" s="22">
        <f>'Raw Data (Source)'!L126</f>
        <v>29080</v>
      </c>
      <c r="G13" s="22">
        <f>'Raw Data (Source)'!M126</f>
        <v>29242</v>
      </c>
      <c r="H13" s="22">
        <f>'Raw Data (Source)'!N126</f>
        <v>34685</v>
      </c>
      <c r="I13" s="22">
        <f>'Raw Data (Source)'!O126</f>
        <v>39060</v>
      </c>
      <c r="J13" s="22">
        <f>'Raw Data (Source)'!P126</f>
        <v>44645</v>
      </c>
    </row>
    <row r="14" spans="1:10" ht="14.25" customHeight="1" x14ac:dyDescent="0.3">
      <c r="B14" t="str">
        <f>'Raw Data (Source)'!D127</f>
        <v>Other asset items</v>
      </c>
      <c r="E14" s="23">
        <f>'Raw Data (Source)'!K127</f>
        <v>56150</v>
      </c>
      <c r="F14" s="23">
        <f>'Raw Data (Source)'!L127</f>
        <v>49383</v>
      </c>
      <c r="G14" s="23">
        <f>'Raw Data (Source)'!M127</f>
        <v>51277</v>
      </c>
      <c r="H14" s="23">
        <f>'Raw Data (Source)'!N127</f>
        <v>68061</v>
      </c>
      <c r="I14" s="23">
        <f>'Raw Data (Source)'!O127</f>
        <v>86222</v>
      </c>
      <c r="J14" s="23">
        <f>'Raw Data (Source)'!P127</f>
        <v>97900</v>
      </c>
    </row>
    <row r="15" spans="1:10" ht="14.25" customHeight="1" x14ac:dyDescent="0.3">
      <c r="B15" s="7" t="s">
        <v>51</v>
      </c>
      <c r="C15" s="17"/>
      <c r="D15" s="17"/>
      <c r="E15" s="24">
        <f t="shared" ref="E15:J15" si="0">SUM(E11:E14)</f>
        <v>102049</v>
      </c>
      <c r="F15" s="24">
        <f t="shared" si="0"/>
        <v>94086</v>
      </c>
      <c r="G15" s="24">
        <f t="shared" si="0"/>
        <v>98489</v>
      </c>
      <c r="H15" s="24">
        <f t="shared" si="0"/>
        <v>126629</v>
      </c>
      <c r="I15" s="24">
        <f t="shared" si="0"/>
        <v>151331</v>
      </c>
      <c r="J15" s="24">
        <f t="shared" si="0"/>
        <v>171156</v>
      </c>
    </row>
    <row r="17" spans="1:10" ht="14.25" customHeight="1" x14ac:dyDescent="0.3">
      <c r="B17" s="5" t="s">
        <v>52</v>
      </c>
    </row>
    <row r="18" spans="1:10" ht="14.25" customHeight="1" x14ac:dyDescent="0.3">
      <c r="B18" s="21" t="str">
        <f>'Raw Data (Source)'!D101</f>
        <v>Trade Payables</v>
      </c>
      <c r="C18" s="21"/>
      <c r="D18" s="21"/>
      <c r="E18" s="22">
        <f>'Raw Data (Source)'!K101</f>
        <v>14985</v>
      </c>
      <c r="F18" s="22">
        <f>'Raw Data (Source)'!L101</f>
        <v>15506</v>
      </c>
      <c r="G18" s="22">
        <f>'Raw Data (Source)'!M101</f>
        <v>19037</v>
      </c>
      <c r="H18" s="22">
        <f>'Raw Data (Source)'!N101</f>
        <v>23836</v>
      </c>
      <c r="I18" s="22">
        <f>'Raw Data (Source)'!O101</f>
        <v>25666</v>
      </c>
      <c r="J18" s="22">
        <f>'Raw Data (Source)'!P101</f>
        <v>30855</v>
      </c>
    </row>
    <row r="19" spans="1:10" ht="14.25" customHeight="1" x14ac:dyDescent="0.3">
      <c r="B19" s="21" t="str">
        <f>'Raw Data (Source)'!D102</f>
        <v>Advance from Customers</v>
      </c>
      <c r="C19" s="21"/>
      <c r="D19" s="21"/>
      <c r="E19" s="22">
        <f>'Raw Data (Source)'!K102</f>
        <v>0</v>
      </c>
      <c r="F19" s="22">
        <f>'Raw Data (Source)'!L102</f>
        <v>0</v>
      </c>
      <c r="G19" s="22">
        <f>'Raw Data (Source)'!M102</f>
        <v>0</v>
      </c>
      <c r="H19" s="22">
        <f>'Raw Data (Source)'!N102</f>
        <v>0</v>
      </c>
      <c r="I19" s="22">
        <f>'Raw Data (Source)'!O102</f>
        <v>0</v>
      </c>
      <c r="J19" s="22">
        <f>'Raw Data (Source)'!P102</f>
        <v>0</v>
      </c>
    </row>
    <row r="20" spans="1:10" ht="14.25" customHeight="1" x14ac:dyDescent="0.3">
      <c r="B20" t="str">
        <f>'Raw Data (Source)'!D103</f>
        <v>Other liability items</v>
      </c>
      <c r="E20" s="23">
        <f>'Raw Data (Source)'!K103</f>
        <v>20977</v>
      </c>
      <c r="F20" s="23">
        <f>'Raw Data (Source)'!L103</f>
        <v>18185</v>
      </c>
      <c r="G20" s="23">
        <f>'Raw Data (Source)'!M103</f>
        <v>18921</v>
      </c>
      <c r="H20" s="23">
        <f>'Raw Data (Source)'!N103</f>
        <v>21119</v>
      </c>
      <c r="I20" s="23">
        <f>'Raw Data (Source)'!O103</f>
        <v>22900</v>
      </c>
      <c r="J20" s="23">
        <f>'Raw Data (Source)'!P103</f>
        <v>27035</v>
      </c>
    </row>
    <row r="21" spans="1:10" ht="14.25" customHeight="1" x14ac:dyDescent="0.3">
      <c r="B21" s="7" t="s">
        <v>53</v>
      </c>
      <c r="C21" s="17"/>
      <c r="D21" s="17"/>
      <c r="E21" s="24">
        <f t="shared" ref="E21:J21" si="1">SUM(E18:E20)</f>
        <v>35962</v>
      </c>
      <c r="F21" s="24">
        <f t="shared" si="1"/>
        <v>33691</v>
      </c>
      <c r="G21" s="24">
        <f t="shared" si="1"/>
        <v>37958</v>
      </c>
      <c r="H21" s="24">
        <f t="shared" si="1"/>
        <v>44955</v>
      </c>
      <c r="I21" s="24">
        <f t="shared" si="1"/>
        <v>48566</v>
      </c>
      <c r="J21" s="24">
        <f t="shared" si="1"/>
        <v>57890</v>
      </c>
    </row>
    <row r="23" spans="1:10" ht="15" customHeight="1" x14ac:dyDescent="0.3">
      <c r="A23" t="s">
        <v>1</v>
      </c>
      <c r="B23" s="25" t="s">
        <v>54</v>
      </c>
      <c r="C23" s="26"/>
      <c r="D23" s="26"/>
      <c r="E23" s="27">
        <f t="shared" ref="E23:J23" si="2">E15-E21</f>
        <v>66087</v>
      </c>
      <c r="F23" s="27">
        <f t="shared" si="2"/>
        <v>60395</v>
      </c>
      <c r="G23" s="27">
        <f t="shared" si="2"/>
        <v>60531</v>
      </c>
      <c r="H23" s="27">
        <f t="shared" si="2"/>
        <v>81674</v>
      </c>
      <c r="I23" s="27">
        <f t="shared" si="2"/>
        <v>102765</v>
      </c>
      <c r="J23" s="27">
        <f t="shared" si="2"/>
        <v>113266</v>
      </c>
    </row>
    <row r="25" spans="1:10" ht="14.25" customHeight="1" x14ac:dyDescent="0.3">
      <c r="B25" s="5" t="s">
        <v>55</v>
      </c>
    </row>
    <row r="26" spans="1:10" ht="14.25" customHeight="1" x14ac:dyDescent="0.3">
      <c r="B26" s="21" t="str">
        <f>'Raw Data (Source)'!D107</f>
        <v>Land</v>
      </c>
      <c r="C26" s="21"/>
      <c r="D26" s="21"/>
      <c r="E26" s="22">
        <f>'Raw Data (Source)'!K107</f>
        <v>4511</v>
      </c>
      <c r="F26" s="22">
        <f>'Raw Data (Source)'!L107</f>
        <v>1712</v>
      </c>
      <c r="G26" s="22">
        <f>'Raw Data (Source)'!M107</f>
        <v>1931</v>
      </c>
      <c r="H26" s="22">
        <f>'Raw Data (Source)'!N107</f>
        <v>1977</v>
      </c>
      <c r="I26" s="22">
        <f>'Raw Data (Source)'!O107</f>
        <v>2098</v>
      </c>
      <c r="J26" s="22">
        <f>'Raw Data (Source)'!P107</f>
        <v>2115</v>
      </c>
    </row>
    <row r="27" spans="1:10" ht="14.25" customHeight="1" x14ac:dyDescent="0.3">
      <c r="B27" s="21" t="str">
        <f>'Raw Data (Source)'!D108</f>
        <v>Building</v>
      </c>
      <c r="C27" s="21"/>
      <c r="D27" s="21"/>
      <c r="E27" s="22">
        <f>'Raw Data (Source)'!K108</f>
        <v>11956</v>
      </c>
      <c r="F27" s="22">
        <f>'Raw Data (Source)'!L108</f>
        <v>8482</v>
      </c>
      <c r="G27" s="22">
        <f>'Raw Data (Source)'!M108</f>
        <v>9728</v>
      </c>
      <c r="H27" s="22">
        <f>'Raw Data (Source)'!N108</f>
        <v>10862</v>
      </c>
      <c r="I27" s="22">
        <f>'Raw Data (Source)'!O108</f>
        <v>11496</v>
      </c>
      <c r="J27" s="22">
        <f>'Raw Data (Source)'!P108</f>
        <v>13100</v>
      </c>
    </row>
    <row r="28" spans="1:10" ht="14.25" customHeight="1" x14ac:dyDescent="0.3">
      <c r="B28" s="21" t="str">
        <f>'Raw Data (Source)'!D109</f>
        <v>Plant Machinery</v>
      </c>
      <c r="C28" s="21"/>
      <c r="D28" s="21"/>
      <c r="E28" s="22">
        <f>'Raw Data (Source)'!K109</f>
        <v>38492</v>
      </c>
      <c r="F28" s="22">
        <f>'Raw Data (Source)'!L109</f>
        <v>22386</v>
      </c>
      <c r="G28" s="22">
        <f>'Raw Data (Source)'!M109</f>
        <v>26484</v>
      </c>
      <c r="H28" s="22">
        <f>'Raw Data (Source)'!N109</f>
        <v>24928</v>
      </c>
      <c r="I28" s="22">
        <f>'Raw Data (Source)'!O109</f>
        <v>27230</v>
      </c>
      <c r="J28" s="22">
        <f>'Raw Data (Source)'!P109</f>
        <v>32547</v>
      </c>
    </row>
    <row r="29" spans="1:10" ht="14.25" customHeight="1" x14ac:dyDescent="0.3">
      <c r="B29" s="21" t="str">
        <f>'Raw Data (Source)'!D110</f>
        <v>Equipments</v>
      </c>
      <c r="C29" s="21"/>
      <c r="D29" s="21"/>
      <c r="E29" s="22">
        <f>'Raw Data (Source)'!K110</f>
        <v>417</v>
      </c>
      <c r="F29" s="22">
        <f>'Raw Data (Source)'!L110</f>
        <v>418</v>
      </c>
      <c r="G29" s="22">
        <f>'Raw Data (Source)'!M110</f>
        <v>445</v>
      </c>
      <c r="H29" s="22">
        <f>'Raw Data (Source)'!N110</f>
        <v>452</v>
      </c>
      <c r="I29" s="22">
        <f>'Raw Data (Source)'!O110</f>
        <v>481</v>
      </c>
      <c r="J29" s="22">
        <f>'Raw Data (Source)'!P110</f>
        <v>493</v>
      </c>
    </row>
    <row r="30" spans="1:10" ht="14.25" customHeight="1" x14ac:dyDescent="0.3">
      <c r="B30" s="21" t="str">
        <f>'Raw Data (Source)'!D111</f>
        <v>Furniture n fittings</v>
      </c>
      <c r="C30" s="21"/>
      <c r="D30" s="21"/>
      <c r="E30" s="22">
        <f>'Raw Data (Source)'!K111</f>
        <v>1160</v>
      </c>
      <c r="F30" s="22">
        <f>'Raw Data (Source)'!L111</f>
        <v>805</v>
      </c>
      <c r="G30" s="22">
        <f>'Raw Data (Source)'!M111</f>
        <v>844</v>
      </c>
      <c r="H30" s="22">
        <f>'Raw Data (Source)'!N111</f>
        <v>925</v>
      </c>
      <c r="I30" s="22">
        <f>'Raw Data (Source)'!O111</f>
        <v>1011</v>
      </c>
      <c r="J30" s="22">
        <f>'Raw Data (Source)'!P111</f>
        <v>1118</v>
      </c>
    </row>
    <row r="31" spans="1:10" ht="14.25" customHeight="1" x14ac:dyDescent="0.3">
      <c r="B31" s="21" t="str">
        <f>'Raw Data (Source)'!D112</f>
        <v>Vehicles</v>
      </c>
      <c r="C31" s="21"/>
      <c r="D31" s="21"/>
      <c r="E31" s="22">
        <f>'Raw Data (Source)'!K112</f>
        <v>1068</v>
      </c>
      <c r="F31" s="22">
        <f>'Raw Data (Source)'!L112</f>
        <v>986</v>
      </c>
      <c r="G31" s="22">
        <f>'Raw Data (Source)'!M112</f>
        <v>1090</v>
      </c>
      <c r="H31" s="22">
        <f>'Raw Data (Source)'!N112</f>
        <v>1238</v>
      </c>
      <c r="I31" s="22">
        <f>'Raw Data (Source)'!O112</f>
        <v>1356</v>
      </c>
      <c r="J31" s="22">
        <f>'Raw Data (Source)'!P112</f>
        <v>1593</v>
      </c>
    </row>
    <row r="32" spans="1:10" ht="14.25" customHeight="1" x14ac:dyDescent="0.3">
      <c r="B32" s="21" t="str">
        <f>'Raw Data (Source)'!D113</f>
        <v>Intangible Assets</v>
      </c>
      <c r="C32" s="21"/>
      <c r="D32" s="21"/>
      <c r="E32" s="22">
        <f>'Raw Data (Source)'!K113</f>
        <v>9733</v>
      </c>
      <c r="F32" s="22">
        <f>'Raw Data (Source)'!L113</f>
        <v>6932</v>
      </c>
      <c r="G32" s="22">
        <f>'Raw Data (Source)'!M113</f>
        <v>7046</v>
      </c>
      <c r="H32" s="22">
        <f>'Raw Data (Source)'!N113</f>
        <v>10625</v>
      </c>
      <c r="I32" s="22">
        <f>'Raw Data (Source)'!O113</f>
        <v>11589</v>
      </c>
      <c r="J32" s="22">
        <f>'Raw Data (Source)'!P113</f>
        <v>13723</v>
      </c>
    </row>
    <row r="33" spans="1:10" ht="14.25" customHeight="1" x14ac:dyDescent="0.3">
      <c r="B33" t="str">
        <f>'Raw Data (Source)'!D114</f>
        <v>Other fixed assets</v>
      </c>
      <c r="E33" s="23">
        <f>'Raw Data (Source)'!K114</f>
        <v>1265</v>
      </c>
      <c r="F33" s="23">
        <f>'Raw Data (Source)'!L114</f>
        <v>937</v>
      </c>
      <c r="G33" s="23">
        <f>'Raw Data (Source)'!M114</f>
        <v>958</v>
      </c>
      <c r="H33" s="23">
        <f>'Raw Data (Source)'!N114</f>
        <v>1084</v>
      </c>
      <c r="I33" s="23">
        <f>'Raw Data (Source)'!O114</f>
        <v>1202</v>
      </c>
      <c r="J33" s="23">
        <f>'Raw Data (Source)'!P114</f>
        <v>1454</v>
      </c>
    </row>
    <row r="34" spans="1:10" ht="14.25" customHeight="1" x14ac:dyDescent="0.3">
      <c r="B34" s="7" t="s">
        <v>56</v>
      </c>
      <c r="C34" s="17"/>
      <c r="D34" s="17"/>
      <c r="E34" s="24">
        <f t="shared" ref="E34:J34" si="3">SUM(E26:E33)</f>
        <v>68602</v>
      </c>
      <c r="F34" s="24">
        <f t="shared" si="3"/>
        <v>42658</v>
      </c>
      <c r="G34" s="24">
        <f t="shared" si="3"/>
        <v>48526</v>
      </c>
      <c r="H34" s="24">
        <f t="shared" si="3"/>
        <v>52091</v>
      </c>
      <c r="I34" s="24">
        <f t="shared" si="3"/>
        <v>56463</v>
      </c>
      <c r="J34" s="24">
        <f t="shared" si="3"/>
        <v>66143</v>
      </c>
    </row>
    <row r="35" spans="1:10" ht="14.25" customHeight="1" x14ac:dyDescent="0.3">
      <c r="B35" t="s">
        <v>57</v>
      </c>
      <c r="E35" s="23">
        <f>-'Raw Data (Source)'!K116</f>
        <v>-38913</v>
      </c>
      <c r="F35" s="23">
        <f>-'Raw Data (Source)'!L116</f>
        <v>-21278</v>
      </c>
      <c r="G35" s="23">
        <f>-'Raw Data (Source)'!M116</f>
        <v>-22508</v>
      </c>
      <c r="H35" s="23">
        <f>-'Raw Data (Source)'!N116</f>
        <v>-24950</v>
      </c>
      <c r="I35" s="23">
        <f>-'Raw Data (Source)'!O116</f>
        <v>-28333</v>
      </c>
      <c r="J35" s="23">
        <f>-'Raw Data (Source)'!P116</f>
        <v>-31506</v>
      </c>
    </row>
    <row r="36" spans="1:10" ht="15" customHeight="1" x14ac:dyDescent="0.3">
      <c r="B36" s="25" t="s">
        <v>58</v>
      </c>
      <c r="C36" s="25"/>
      <c r="D36" s="26"/>
      <c r="E36" s="28">
        <f t="shared" ref="E36:J36" si="4">SUM(E34:E35)</f>
        <v>29689</v>
      </c>
      <c r="F36" s="28">
        <f t="shared" si="4"/>
        <v>21380</v>
      </c>
      <c r="G36" s="28">
        <f t="shared" si="4"/>
        <v>26018</v>
      </c>
      <c r="H36" s="28">
        <f t="shared" si="4"/>
        <v>27141</v>
      </c>
      <c r="I36" s="28">
        <f t="shared" si="4"/>
        <v>28130</v>
      </c>
      <c r="J36" s="28">
        <f t="shared" si="4"/>
        <v>34637</v>
      </c>
    </row>
    <row r="38" spans="1:10" ht="14.25" customHeight="1" x14ac:dyDescent="0.3">
      <c r="A38" t="s">
        <v>1</v>
      </c>
      <c r="B38" s="5" t="s">
        <v>59</v>
      </c>
      <c r="C38" s="5"/>
      <c r="D38" s="5"/>
      <c r="E38" s="29">
        <f t="shared" ref="E38:J38" si="5">SUM(E36,E23)</f>
        <v>95776</v>
      </c>
      <c r="F38" s="29">
        <f t="shared" si="5"/>
        <v>81775</v>
      </c>
      <c r="G38" s="29">
        <f t="shared" si="5"/>
        <v>86549</v>
      </c>
      <c r="H38" s="29">
        <f t="shared" si="5"/>
        <v>108815</v>
      </c>
      <c r="I38" s="29">
        <f t="shared" si="5"/>
        <v>130895</v>
      </c>
      <c r="J38" s="29">
        <f t="shared" si="5"/>
        <v>147903</v>
      </c>
    </row>
    <row r="39" spans="1:10" ht="14.25" customHeight="1" x14ac:dyDescent="0.3">
      <c r="B39" s="5" t="s">
        <v>60</v>
      </c>
      <c r="C39" s="5"/>
      <c r="D39" s="5"/>
      <c r="E39" s="5">
        <f>'[1]M&amp;M PROJECT 3 Statement'!C22-'[1]M&amp;M PROJECT 3 Statement'!C28</f>
        <v>6791.0699999999888</v>
      </c>
      <c r="F39" s="5">
        <f>'[1]M&amp;M PROJECT 3 Statement'!D22-'[1]M&amp;M PROJECT 3 Statement'!D28</f>
        <v>8108.9100000000035</v>
      </c>
      <c r="G39" s="5">
        <f>'[1]M&amp;M PROJECT 3 Statement'!E22-'[1]M&amp;M PROJECT 3 Statement'!E28</f>
        <v>11175.35000000002</v>
      </c>
      <c r="H39" s="5">
        <f>'[1]M&amp;M PROJECT 3 Statement'!F22-'[1]M&amp;M PROJECT 3 Statement'!F28</f>
        <v>15928.480000000014</v>
      </c>
      <c r="I39" s="5">
        <f>'[1]M&amp;M PROJECT 3 Statement'!G22-'[1]M&amp;M PROJECT 3 Statement'!G28</f>
        <v>20168.149999999994</v>
      </c>
      <c r="J39" s="5">
        <f>'[1]M&amp;M PROJECT 3 Statement'!H22-'[1]M&amp;M PROJECT 3 Statement'!H28</f>
        <v>24444.54</v>
      </c>
    </row>
    <row r="41" spans="1:10" ht="15" customHeight="1" x14ac:dyDescent="0.3">
      <c r="A41" t="s">
        <v>1</v>
      </c>
      <c r="B41" s="25" t="s">
        <v>61</v>
      </c>
      <c r="C41" s="25"/>
      <c r="D41" s="25"/>
      <c r="E41" s="30">
        <f t="shared" ref="E41:J41" si="6">E39/E38</f>
        <v>7.09057592716337E-2</v>
      </c>
      <c r="F41" s="30">
        <f t="shared" si="6"/>
        <v>9.916123509630087E-2</v>
      </c>
      <c r="G41" s="30">
        <f t="shared" si="6"/>
        <v>0.12912165362973599</v>
      </c>
      <c r="H41" s="30">
        <f t="shared" si="6"/>
        <v>0.14638128934430009</v>
      </c>
      <c r="I41" s="30">
        <f t="shared" si="6"/>
        <v>0.15407884181977916</v>
      </c>
      <c r="J41" s="30">
        <f t="shared" si="6"/>
        <v>0.16527413237054014</v>
      </c>
    </row>
    <row r="43" spans="1:10" ht="14.25" customHeight="1" x14ac:dyDescent="0.3">
      <c r="B43" s="20" t="s">
        <v>62</v>
      </c>
      <c r="C43" s="20"/>
      <c r="D43" s="20"/>
      <c r="E43" s="1">
        <v>43921</v>
      </c>
      <c r="F43" s="1">
        <v>44286</v>
      </c>
      <c r="G43" s="1">
        <v>44651</v>
      </c>
      <c r="H43" s="1">
        <v>45016</v>
      </c>
      <c r="I43" s="1">
        <v>45382</v>
      </c>
      <c r="J43" s="1">
        <v>45747</v>
      </c>
    </row>
    <row r="45" spans="1:10" ht="14.25" customHeight="1" x14ac:dyDescent="0.3">
      <c r="B45" s="21" t="s">
        <v>63</v>
      </c>
      <c r="C45" s="21"/>
      <c r="D45" s="21"/>
      <c r="E45" s="22">
        <f>-SUM('Raw Data (Source)'!K141:K142)</f>
        <v>6794</v>
      </c>
      <c r="F45" s="22">
        <f>-SUM('Raw Data (Source)'!L141:L142)</f>
        <v>4625</v>
      </c>
      <c r="G45" s="22">
        <f>-SUM('Raw Data (Source)'!M141:M142)</f>
        <v>5920</v>
      </c>
      <c r="H45" s="22">
        <f>-SUM('Raw Data (Source)'!N141:N142)</f>
        <v>6167</v>
      </c>
      <c r="I45" s="22">
        <f>-SUM('Raw Data (Source)'!O141:O142)</f>
        <v>9673</v>
      </c>
      <c r="J45" s="22">
        <f>-SUM('Raw Data (Source)'!P141:P142)</f>
        <v>9809</v>
      </c>
    </row>
    <row r="46" spans="1:10" ht="14.25" customHeight="1" x14ac:dyDescent="0.3">
      <c r="B46" s="21" t="s">
        <v>64</v>
      </c>
      <c r="C46" s="21"/>
      <c r="D46" s="21"/>
      <c r="E46" s="22"/>
      <c r="F46" s="22">
        <f>F23-E23</f>
        <v>-5692</v>
      </c>
      <c r="G46" s="22">
        <f>G23-F23</f>
        <v>136</v>
      </c>
      <c r="H46" s="22">
        <f>H23-G23</f>
        <v>21143</v>
      </c>
      <c r="I46" s="22">
        <f>I23-H23</f>
        <v>21091</v>
      </c>
      <c r="J46" s="22">
        <f>J23-I23</f>
        <v>10501</v>
      </c>
    </row>
    <row r="47" spans="1:10" ht="14.25" customHeight="1" x14ac:dyDescent="0.3">
      <c r="E47" s="23"/>
      <c r="F47" s="23"/>
      <c r="G47" s="23"/>
      <c r="H47" s="23"/>
      <c r="I47" s="23"/>
      <c r="J47" s="23"/>
    </row>
    <row r="48" spans="1:10" ht="14.25" customHeight="1" x14ac:dyDescent="0.3">
      <c r="B48" s="21" t="s">
        <v>60</v>
      </c>
      <c r="C48" s="21"/>
      <c r="D48" s="21"/>
      <c r="E48" s="22">
        <f t="shared" ref="E48:J48" si="7">E39</f>
        <v>6791.0699999999888</v>
      </c>
      <c r="F48" s="22">
        <f t="shared" si="7"/>
        <v>8108.9100000000035</v>
      </c>
      <c r="G48" s="22">
        <f t="shared" si="7"/>
        <v>11175.35000000002</v>
      </c>
      <c r="H48" s="22">
        <f t="shared" si="7"/>
        <v>15928.480000000014</v>
      </c>
      <c r="I48" s="22">
        <f t="shared" si="7"/>
        <v>20168.149999999994</v>
      </c>
      <c r="J48" s="22">
        <f t="shared" si="7"/>
        <v>24444.54</v>
      </c>
    </row>
    <row r="49" spans="2:10" ht="14.25" customHeight="1" x14ac:dyDescent="0.3">
      <c r="B49" s="21" t="s">
        <v>65</v>
      </c>
      <c r="C49" s="21"/>
      <c r="D49" s="21"/>
      <c r="E49" s="31">
        <v>0.25</v>
      </c>
      <c r="F49" s="31">
        <v>0.25</v>
      </c>
      <c r="G49" s="31">
        <v>0.25</v>
      </c>
      <c r="H49" s="31">
        <v>0.25</v>
      </c>
      <c r="I49" s="31">
        <v>0.25</v>
      </c>
      <c r="J49" s="31">
        <v>0.25</v>
      </c>
    </row>
    <row r="50" spans="2:10" ht="14.25" customHeight="1" x14ac:dyDescent="0.3">
      <c r="B50" s="21" t="s">
        <v>66</v>
      </c>
      <c r="C50" s="21"/>
      <c r="D50" s="21"/>
      <c r="E50" s="22">
        <f t="shared" ref="E50:J50" si="8">E48*(1-E49)</f>
        <v>5093.3024999999916</v>
      </c>
      <c r="F50" s="22">
        <f t="shared" si="8"/>
        <v>6081.6825000000026</v>
      </c>
      <c r="G50" s="22">
        <f t="shared" si="8"/>
        <v>8381.5125000000153</v>
      </c>
      <c r="H50" s="22">
        <f t="shared" si="8"/>
        <v>11946.360000000011</v>
      </c>
      <c r="I50" s="22">
        <f t="shared" si="8"/>
        <v>15126.112499999996</v>
      </c>
      <c r="J50" s="22">
        <f t="shared" si="8"/>
        <v>18333.404999999999</v>
      </c>
    </row>
    <row r="51" spans="2:10" ht="14.25" customHeight="1" x14ac:dyDescent="0.3">
      <c r="E51" s="23"/>
      <c r="F51" s="23"/>
      <c r="G51" s="23"/>
      <c r="H51" s="23"/>
      <c r="I51" s="23"/>
      <c r="J51" s="23"/>
    </row>
    <row r="52" spans="2:10" ht="14.25" customHeight="1" x14ac:dyDescent="0.3">
      <c r="B52" s="21" t="s">
        <v>67</v>
      </c>
      <c r="C52" s="21"/>
      <c r="D52" s="21"/>
      <c r="E52" s="22"/>
      <c r="F52" s="22">
        <f>SUM(F45:F46)</f>
        <v>-1067</v>
      </c>
      <c r="G52" s="22">
        <f>SUM(G45:G46)</f>
        <v>6056</v>
      </c>
      <c r="H52" s="22">
        <f>SUM(H45:H46)</f>
        <v>27310</v>
      </c>
      <c r="I52" s="22">
        <f>SUM(I45:I46)</f>
        <v>30764</v>
      </c>
      <c r="J52" s="22">
        <f>SUM(J45:J46)</f>
        <v>20310</v>
      </c>
    </row>
    <row r="53" spans="2:10" ht="14.25" customHeight="1" x14ac:dyDescent="0.3">
      <c r="E53" s="23"/>
      <c r="F53" s="23"/>
      <c r="G53" s="23"/>
      <c r="H53" s="23"/>
      <c r="I53" s="23"/>
      <c r="J53" s="23"/>
    </row>
    <row r="54" spans="2:10" ht="15" customHeight="1" x14ac:dyDescent="0.3">
      <c r="B54" s="25" t="s">
        <v>68</v>
      </c>
      <c r="C54" s="25"/>
      <c r="D54" s="25"/>
      <c r="E54" s="32"/>
      <c r="F54" s="30">
        <f>F52/F50</f>
        <v>-0.17544487072450748</v>
      </c>
      <c r="G54" s="30">
        <f>G52/G50</f>
        <v>0.7225426198433742</v>
      </c>
      <c r="H54" s="30">
        <f>H52/H50</f>
        <v>2.2860519857094523</v>
      </c>
      <c r="I54" s="30">
        <f>I52/I50</f>
        <v>2.0338338750290275</v>
      </c>
      <c r="J54" s="30">
        <f>J52/J50</f>
        <v>1.1078138512731268</v>
      </c>
    </row>
    <row r="56" spans="2:10" ht="14.25" customHeight="1" x14ac:dyDescent="0.3">
      <c r="I56" s="18" t="s">
        <v>69</v>
      </c>
      <c r="J56" s="33">
        <f>AVERAGE(F54:J54)</f>
        <v>1.1949594922260947</v>
      </c>
    </row>
    <row r="57" spans="2:10" ht="14.25" customHeight="1" x14ac:dyDescent="0.3">
      <c r="I57" s="18" t="s">
        <v>70</v>
      </c>
      <c r="J57" s="33">
        <f>MEDIAN(F54:J54)</f>
        <v>1.1078138512731268</v>
      </c>
    </row>
    <row r="59" spans="2:10" ht="15" customHeight="1" x14ac:dyDescent="0.3">
      <c r="B59" s="20" t="s">
        <v>71</v>
      </c>
      <c r="C59" s="20"/>
      <c r="D59" s="16"/>
      <c r="E59" s="1">
        <v>43921</v>
      </c>
      <c r="F59" s="1">
        <v>44286</v>
      </c>
      <c r="G59" s="1">
        <v>44651</v>
      </c>
      <c r="H59" s="1">
        <v>45016</v>
      </c>
      <c r="I59" s="1">
        <v>45382</v>
      </c>
      <c r="J59" s="1">
        <v>45747</v>
      </c>
    </row>
    <row r="61" spans="2:10" ht="14.25" customHeight="1" x14ac:dyDescent="0.3">
      <c r="B61" s="8" t="s">
        <v>72</v>
      </c>
      <c r="C61" s="21"/>
      <c r="D61" s="21"/>
      <c r="E61" s="21"/>
      <c r="F61" s="34">
        <f>F54</f>
        <v>-0.17544487072450748</v>
      </c>
      <c r="G61" s="34">
        <f>G54</f>
        <v>0.7225426198433742</v>
      </c>
      <c r="H61" s="34">
        <f>H54</f>
        <v>2.2860519857094523</v>
      </c>
      <c r="I61" s="34">
        <f>I54</f>
        <v>2.0338338750290275</v>
      </c>
      <c r="J61" s="34">
        <f>J54</f>
        <v>1.1078138512731268</v>
      </c>
    </row>
    <row r="62" spans="2:10" ht="14.25" customHeight="1" x14ac:dyDescent="0.3">
      <c r="B62" s="8" t="s">
        <v>61</v>
      </c>
      <c r="C62" s="21"/>
      <c r="D62" s="21"/>
      <c r="E62" s="21"/>
      <c r="F62" s="34">
        <f>F41</f>
        <v>9.916123509630087E-2</v>
      </c>
      <c r="G62" s="34">
        <f>G41</f>
        <v>0.12912165362973599</v>
      </c>
      <c r="H62" s="34">
        <f>H41</f>
        <v>0.14638128934430009</v>
      </c>
      <c r="I62" s="34">
        <f>I41</f>
        <v>0.15407884181977916</v>
      </c>
      <c r="J62" s="34">
        <f>J41</f>
        <v>0.16527413237054014</v>
      </c>
    </row>
    <row r="64" spans="2:10" ht="15" customHeight="1" x14ac:dyDescent="0.3">
      <c r="B64" s="25" t="s">
        <v>73</v>
      </c>
      <c r="C64" s="25"/>
      <c r="D64" s="25"/>
      <c r="E64" s="25"/>
      <c r="F64" s="30">
        <f>F61*F62</f>
        <v>-1.7397330072353001E-2</v>
      </c>
      <c r="G64" s="30">
        <f>G61*G62</f>
        <v>9.3295897892138172E-2</v>
      </c>
      <c r="H64" s="30">
        <f>H61*H62</f>
        <v>0.3346352371762471</v>
      </c>
      <c r="I64" s="30">
        <f>I61*I62</f>
        <v>0.31337076791830598</v>
      </c>
      <c r="J64" s="30">
        <f>J61*J62</f>
        <v>0.18309297309723263</v>
      </c>
    </row>
    <row r="66" spans="9:10" ht="14.25" customHeight="1" x14ac:dyDescent="0.3">
      <c r="I66" s="18" t="s">
        <v>69</v>
      </c>
      <c r="J66" s="33">
        <f>AVERAGE(F64:J64)</f>
        <v>0.18139950920231418</v>
      </c>
    </row>
    <row r="67" spans="9:10" ht="14.25" customHeight="1" x14ac:dyDescent="0.3">
      <c r="I67" s="18" t="s">
        <v>70</v>
      </c>
      <c r="J67" s="33">
        <f>MEDIAN(F64:J64)</f>
        <v>0.18309297309723263</v>
      </c>
    </row>
  </sheetData>
  <mergeCells count="1">
    <mergeCell ref="B3:J5"/>
  </mergeCells>
  <pageMargins left="0.7" right="0.7" top="0.75" bottom="0.75" header="0.511811023622047" footer="0.511811023622047"/>
  <pageSetup paperSize="3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I40"/>
  <sheetViews>
    <sheetView showGridLines="0" topLeftCell="A25" zoomScaleNormal="100" workbookViewId="0">
      <selection activeCell="C24" sqref="C24"/>
    </sheetView>
  </sheetViews>
  <sheetFormatPr defaultColWidth="8.6640625" defaultRowHeight="14.4" x14ac:dyDescent="0.3"/>
  <cols>
    <col min="1" max="1" width="1.88671875" customWidth="1"/>
    <col min="2" max="2" width="21.88671875" customWidth="1"/>
    <col min="3" max="3" width="20.109375" customWidth="1"/>
    <col min="4" max="4" width="14.6640625" customWidth="1"/>
    <col min="5" max="5" width="15.5546875" customWidth="1"/>
    <col min="6" max="6" width="11.77734375" customWidth="1"/>
    <col min="7" max="7" width="11.109375" customWidth="1"/>
    <col min="8" max="8" width="11.21875" customWidth="1"/>
    <col min="9" max="9" width="10.109375" customWidth="1"/>
  </cols>
  <sheetData>
    <row r="2" spans="1:9" ht="14.25" customHeight="1" x14ac:dyDescent="0.3">
      <c r="B2" s="80" t="s">
        <v>0</v>
      </c>
      <c r="C2" s="80"/>
      <c r="D2" s="80"/>
      <c r="E2" s="80"/>
      <c r="F2" s="80"/>
      <c r="G2" s="80"/>
      <c r="H2" s="80"/>
      <c r="I2" s="80"/>
    </row>
    <row r="3" spans="1:9" ht="14.25" customHeight="1" x14ac:dyDescent="0.3">
      <c r="B3" s="80"/>
      <c r="C3" s="80"/>
      <c r="D3" s="80"/>
      <c r="E3" s="80"/>
      <c r="F3" s="80"/>
      <c r="G3" s="80"/>
      <c r="H3" s="80"/>
      <c r="I3" s="80"/>
    </row>
    <row r="4" spans="1:9" ht="14.25" customHeight="1" x14ac:dyDescent="0.3">
      <c r="B4" s="80"/>
      <c r="C4" s="80"/>
      <c r="D4" s="80"/>
      <c r="E4" s="80"/>
      <c r="F4" s="80"/>
      <c r="G4" s="80"/>
      <c r="H4" s="80"/>
      <c r="I4" s="80"/>
    </row>
    <row r="6" spans="1:9" ht="14.25" customHeight="1" x14ac:dyDescent="0.3">
      <c r="B6" s="35" t="s">
        <v>74</v>
      </c>
      <c r="C6" s="35"/>
      <c r="D6" s="15" t="str">
        <f>TEXT(DATE(2025,3,31),"mmm-yy")&amp;"A"</f>
        <v>Mar-25A</v>
      </c>
      <c r="E6" s="14" t="str">
        <f>TEXT(DATE(2026,3,31),"mmm-yy")&amp;"E"</f>
        <v>Mar-26E</v>
      </c>
      <c r="F6" s="14" t="str">
        <f>TEXT(DATE(2027,3,31),"mmm-yy")&amp;"E"</f>
        <v>Mar-27E</v>
      </c>
      <c r="G6" s="14" t="str">
        <f>TEXT(DATE(2028,3,31),"mmm-yy")&amp;"E"</f>
        <v>Mar-28E</v>
      </c>
      <c r="H6" s="14" t="str">
        <f>TEXT(DATE(2029,3,31),"mmm-yy")&amp;"E"</f>
        <v>Mar-29E</v>
      </c>
      <c r="I6" s="14" t="str">
        <f>TEXT(DATE(2030,3,31),"mmm-yy")&amp;"E"</f>
        <v>Mar-30E</v>
      </c>
    </row>
    <row r="7" spans="1:9" ht="14.25" customHeight="1" x14ac:dyDescent="0.3">
      <c r="D7" s="36"/>
      <c r="E7" s="37"/>
      <c r="F7" s="37"/>
      <c r="G7" s="37"/>
      <c r="H7" s="37"/>
      <c r="I7" s="37"/>
    </row>
    <row r="8" spans="1:9" ht="14.25" customHeight="1" x14ac:dyDescent="0.3">
      <c r="A8" s="38"/>
      <c r="B8" s="39" t="s">
        <v>60</v>
      </c>
      <c r="C8" s="21"/>
      <c r="D8" s="40">
        <f>'[1]M&amp;M PROJECT 3 Statement'!H22-'[1]M&amp;M PROJECT 3 Statement'!H28</f>
        <v>24444.54</v>
      </c>
      <c r="E8" s="40">
        <f>D8*(1+$D$18)</f>
        <v>27866.775600000004</v>
      </c>
      <c r="F8" s="40">
        <f>E8*(1+$D$18)</f>
        <v>31768.124184000008</v>
      </c>
      <c r="G8" s="40">
        <f>F8*(1+$D$18)</f>
        <v>36215.661569760014</v>
      </c>
      <c r="H8" s="40">
        <f>G8*(1+$D$18)</f>
        <v>41285.854189526421</v>
      </c>
      <c r="I8" s="40">
        <f>H8*(1+$D$18)</f>
        <v>47065.873776060122</v>
      </c>
    </row>
    <row r="9" spans="1:9" ht="14.25" customHeight="1" x14ac:dyDescent="0.3">
      <c r="B9" s="21" t="s">
        <v>46</v>
      </c>
      <c r="C9" s="21"/>
      <c r="D9" s="41">
        <v>0.25</v>
      </c>
      <c r="E9" s="41">
        <v>0.25</v>
      </c>
      <c r="F9" s="41">
        <v>0.25</v>
      </c>
      <c r="G9" s="41">
        <v>0.25</v>
      </c>
      <c r="H9" s="41">
        <v>0.25</v>
      </c>
      <c r="I9" s="41">
        <v>0.25</v>
      </c>
    </row>
    <row r="10" spans="1:9" ht="14.25" customHeight="1" x14ac:dyDescent="0.3">
      <c r="B10" s="21" t="s">
        <v>66</v>
      </c>
      <c r="C10" s="21"/>
      <c r="D10" s="40">
        <f t="shared" ref="D10:I10" si="0">D8*(1-D9)</f>
        <v>18333.404999999999</v>
      </c>
      <c r="E10" s="40">
        <f t="shared" si="0"/>
        <v>20900.081700000002</v>
      </c>
      <c r="F10" s="40">
        <f t="shared" si="0"/>
        <v>23826.093138000004</v>
      </c>
      <c r="G10" s="40">
        <f t="shared" si="0"/>
        <v>27161.746177320012</v>
      </c>
      <c r="H10" s="40">
        <f t="shared" si="0"/>
        <v>30964.390642144816</v>
      </c>
      <c r="I10" s="40">
        <f t="shared" si="0"/>
        <v>35299.405332045091</v>
      </c>
    </row>
    <row r="11" spans="1:9" ht="14.25" customHeight="1" x14ac:dyDescent="0.3">
      <c r="B11" s="21" t="s">
        <v>75</v>
      </c>
      <c r="C11" s="21"/>
      <c r="D11" s="41">
        <f>'Intrinsic growth'!J57</f>
        <v>1.1078138512731268</v>
      </c>
      <c r="E11" s="41">
        <v>1.0382</v>
      </c>
      <c r="F11" s="41">
        <v>0.96860000000000002</v>
      </c>
      <c r="G11" s="41">
        <v>0.89900000000000002</v>
      </c>
      <c r="H11" s="41">
        <v>0.82940000000000003</v>
      </c>
      <c r="I11" s="41">
        <v>0.76</v>
      </c>
    </row>
    <row r="12" spans="1:9" ht="14.25" customHeight="1" x14ac:dyDescent="0.3">
      <c r="B12" s="21" t="s">
        <v>76</v>
      </c>
      <c r="C12" s="21"/>
      <c r="D12" s="40">
        <f t="shared" ref="D12:I12" si="1">D10*(1-D11)</f>
        <v>-1976.5949999999993</v>
      </c>
      <c r="E12" s="40">
        <f t="shared" si="1"/>
        <v>-798.38312094000037</v>
      </c>
      <c r="F12" s="40">
        <f t="shared" si="1"/>
        <v>748.13932453319967</v>
      </c>
      <c r="G12" s="40">
        <f t="shared" si="1"/>
        <v>2743.3363639093204</v>
      </c>
      <c r="H12" s="40">
        <f t="shared" si="1"/>
        <v>5282.5250435499047</v>
      </c>
      <c r="I12" s="40">
        <f t="shared" si="1"/>
        <v>8471.8572796908211</v>
      </c>
    </row>
    <row r="13" spans="1:9" ht="14.25" customHeight="1" x14ac:dyDescent="0.3">
      <c r="B13" s="21" t="s">
        <v>77</v>
      </c>
      <c r="C13" s="21"/>
      <c r="D13" s="21"/>
      <c r="E13" s="21">
        <v>0.5</v>
      </c>
      <c r="F13" s="21">
        <f>E13+1</f>
        <v>1.5</v>
      </c>
      <c r="G13" s="21">
        <f>F13+1</f>
        <v>2.5</v>
      </c>
      <c r="H13" s="21">
        <f>G13+1</f>
        <v>3.5</v>
      </c>
      <c r="I13" s="21">
        <f>H13+1</f>
        <v>4.5</v>
      </c>
    </row>
    <row r="14" spans="1:9" ht="14.25" customHeight="1" x14ac:dyDescent="0.3">
      <c r="B14" s="21" t="s">
        <v>78</v>
      </c>
      <c r="C14" s="21"/>
      <c r="D14" s="21"/>
      <c r="E14" s="42">
        <f>1/(1+$D$20)^E13</f>
        <v>0.94695770087854192</v>
      </c>
      <c r="F14" s="42">
        <f>1/(1+$D$20)^F13</f>
        <v>0.84916432538463926</v>
      </c>
      <c r="G14" s="42">
        <f>1/(1+$D$20)^G13</f>
        <v>0.7614701805972599</v>
      </c>
      <c r="H14" s="42">
        <f>1/(1+$D$20)^H13</f>
        <v>0.6828323077234546</v>
      </c>
      <c r="I14" s="42">
        <f>1/(1+$D$20)^I13</f>
        <v>0.61231545548537059</v>
      </c>
    </row>
    <row r="16" spans="1:9" ht="15" customHeight="1" x14ac:dyDescent="0.3">
      <c r="B16" s="26" t="s">
        <v>79</v>
      </c>
      <c r="C16" s="26"/>
      <c r="D16" s="26"/>
      <c r="E16" s="43">
        <f>E12*E14</f>
        <v>-756.0350446255776</v>
      </c>
      <c r="F16" s="43">
        <f>F12*F14</f>
        <v>635.29322481095414</v>
      </c>
      <c r="G16" s="43">
        <f>G12*G14</f>
        <v>2088.9688364650606</v>
      </c>
      <c r="H16" s="43">
        <f>H12*H14</f>
        <v>3607.0787660941241</v>
      </c>
      <c r="I16" s="43">
        <f>I12*I14</f>
        <v>5187.4491490209375</v>
      </c>
    </row>
    <row r="18" spans="2:4" ht="14.25" customHeight="1" x14ac:dyDescent="0.3">
      <c r="B18" s="18" t="s">
        <v>80</v>
      </c>
      <c r="C18" s="18"/>
      <c r="D18" s="33">
        <v>0.14000000000000001</v>
      </c>
    </row>
    <row r="19" spans="2:4" ht="14.25" customHeight="1" x14ac:dyDescent="0.3">
      <c r="B19" s="18" t="s">
        <v>81</v>
      </c>
      <c r="C19" s="18"/>
      <c r="D19" s="33">
        <v>4.4999999999999998E-2</v>
      </c>
    </row>
    <row r="20" spans="2:4" ht="14.25" customHeight="1" x14ac:dyDescent="0.3">
      <c r="B20" t="s">
        <v>82</v>
      </c>
      <c r="D20" s="2">
        <f>'[1]DCF (WACC)'!J44</f>
        <v>0.11516425333766347</v>
      </c>
    </row>
    <row r="22" spans="2:4" ht="14.25" customHeight="1" x14ac:dyDescent="0.3">
      <c r="B22" s="35" t="s">
        <v>83</v>
      </c>
      <c r="C22" s="35"/>
    </row>
    <row r="24" spans="2:4" ht="14.25" customHeight="1" x14ac:dyDescent="0.3">
      <c r="B24" t="s">
        <v>84</v>
      </c>
      <c r="C24" s="11">
        <f>I12*(1+D18)</f>
        <v>9657.9172988475366</v>
      </c>
    </row>
    <row r="25" spans="2:4" ht="14.25" customHeight="1" x14ac:dyDescent="0.3">
      <c r="B25" t="s">
        <v>82</v>
      </c>
      <c r="C25" s="2">
        <f>D20</f>
        <v>0.11516425333766347</v>
      </c>
    </row>
    <row r="26" spans="2:4" ht="14.25" customHeight="1" x14ac:dyDescent="0.3">
      <c r="B26" t="s">
        <v>85</v>
      </c>
      <c r="C26" s="2">
        <f>D19</f>
        <v>4.4999999999999998E-2</v>
      </c>
    </row>
    <row r="27" spans="2:4" ht="1.5" customHeight="1" x14ac:dyDescent="0.3"/>
    <row r="28" spans="2:4" ht="15" customHeight="1" x14ac:dyDescent="0.3">
      <c r="B28" s="26" t="s">
        <v>81</v>
      </c>
      <c r="C28" s="43">
        <f>C24/(C25-C26)</f>
        <v>137647.26109703019</v>
      </c>
    </row>
    <row r="30" spans="2:4" ht="14.25" customHeight="1" x14ac:dyDescent="0.3">
      <c r="B30" s="35" t="s">
        <v>86</v>
      </c>
      <c r="C30" s="35"/>
    </row>
    <row r="32" spans="2:4" ht="14.25" customHeight="1" x14ac:dyDescent="0.3">
      <c r="B32" t="s">
        <v>79</v>
      </c>
      <c r="C32" s="11">
        <f>SUM(E16:I16)</f>
        <v>10762.754931765499</v>
      </c>
    </row>
    <row r="33" spans="2:3" ht="14.25" customHeight="1" x14ac:dyDescent="0.3">
      <c r="B33" t="s">
        <v>87</v>
      </c>
      <c r="C33" s="11">
        <f>C28*I14</f>
        <v>84283.545374941765</v>
      </c>
    </row>
    <row r="34" spans="2:3" ht="14.25" customHeight="1" x14ac:dyDescent="0.3">
      <c r="B34" s="5" t="s">
        <v>88</v>
      </c>
      <c r="C34" s="11">
        <f>SUM(C32:C33)</f>
        <v>95046.300306707271</v>
      </c>
    </row>
    <row r="36" spans="2:3" ht="14.25" customHeight="1" x14ac:dyDescent="0.3">
      <c r="B36" t="s">
        <v>89</v>
      </c>
      <c r="C36" s="23">
        <f>'Data Sheet'!K69</f>
        <v>20614.84</v>
      </c>
    </row>
    <row r="37" spans="2:3" ht="14.25" customHeight="1" x14ac:dyDescent="0.3">
      <c r="B37" t="s">
        <v>90</v>
      </c>
      <c r="C37" s="23">
        <f>'[1]M&amp;M PROJECT 3 Statement'!H55</f>
        <v>129024.58</v>
      </c>
    </row>
    <row r="38" spans="2:3" ht="14.25" customHeight="1" x14ac:dyDescent="0.3">
      <c r="B38" s="5" t="s">
        <v>91</v>
      </c>
      <c r="C38" s="13">
        <f>C34+C36-C37</f>
        <v>-13363.439693292734</v>
      </c>
    </row>
    <row r="39" spans="2:3" ht="14.25" customHeight="1" x14ac:dyDescent="0.3">
      <c r="B39" t="s">
        <v>92</v>
      </c>
      <c r="C39" s="11">
        <f>'Data Sheet'!B6</f>
        <v>124.35288215488215</v>
      </c>
    </row>
    <row r="40" spans="2:3" ht="14.25" customHeight="1" x14ac:dyDescent="0.3">
      <c r="B40" s="5" t="s">
        <v>93</v>
      </c>
      <c r="C40" s="44">
        <f>C38/C39</f>
        <v>-107.46385175575183</v>
      </c>
    </row>
  </sheetData>
  <mergeCells count="1">
    <mergeCell ref="B2:I4"/>
  </mergeCell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D7:U163"/>
  <sheetViews>
    <sheetView topLeftCell="A41" zoomScaleNormal="100" workbookViewId="0">
      <selection activeCell="P95" sqref="P95"/>
    </sheetView>
  </sheetViews>
  <sheetFormatPr defaultColWidth="8.6640625" defaultRowHeight="14.4" x14ac:dyDescent="0.3"/>
  <cols>
    <col min="4" max="4" width="33.77734375" customWidth="1"/>
    <col min="5" max="7" width="7.77734375" hidden="1" customWidth="1"/>
    <col min="8" max="10" width="9.44140625" hidden="1" customWidth="1"/>
    <col min="11" max="11" width="9.44140625" customWidth="1"/>
    <col min="12" max="16" width="11.21875" customWidth="1"/>
    <col min="17" max="19" width="7.88671875" customWidth="1"/>
  </cols>
  <sheetData>
    <row r="7" spans="4:19" ht="15" customHeight="1" x14ac:dyDescent="0.3"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</row>
    <row r="8" spans="4:19" ht="15" customHeight="1" x14ac:dyDescent="0.3">
      <c r="D8" s="46"/>
      <c r="E8" s="47"/>
      <c r="F8" s="48"/>
      <c r="G8" s="48"/>
      <c r="H8" s="47"/>
      <c r="I8" s="47"/>
      <c r="J8" s="48"/>
      <c r="K8" s="48"/>
      <c r="L8" s="48"/>
      <c r="M8" s="48"/>
      <c r="N8" s="48"/>
      <c r="O8" s="48"/>
      <c r="P8" s="48"/>
    </row>
    <row r="9" spans="4:19" ht="14.25" customHeight="1" x14ac:dyDescent="0.3">
      <c r="D9" s="49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</row>
    <row r="10" spans="4:19" ht="14.25" customHeight="1" x14ac:dyDescent="0.3">
      <c r="D10" s="50"/>
      <c r="E10" s="51"/>
      <c r="F10" s="52"/>
      <c r="G10" s="52"/>
      <c r="H10" s="51"/>
      <c r="I10" s="51"/>
      <c r="J10" s="51"/>
      <c r="K10" s="51"/>
      <c r="L10" s="51"/>
      <c r="M10" s="51"/>
      <c r="N10" s="51"/>
      <c r="O10" s="51"/>
      <c r="P10" s="51"/>
    </row>
    <row r="11" spans="4:19" ht="14.25" customHeight="1" x14ac:dyDescent="0.3">
      <c r="D11" s="50"/>
      <c r="E11" s="52"/>
      <c r="F11" s="52"/>
      <c r="G11" s="51"/>
      <c r="H11" s="52"/>
      <c r="I11" s="52"/>
      <c r="J11" s="51"/>
      <c r="K11" s="51"/>
      <c r="L11" s="52"/>
      <c r="M11" s="51"/>
      <c r="N11" s="51"/>
      <c r="O11" s="51"/>
      <c r="P11" s="51"/>
      <c r="Q11" s="10"/>
      <c r="R11" s="10"/>
    </row>
    <row r="12" spans="4:19" ht="14.25" customHeight="1" x14ac:dyDescent="0.3">
      <c r="D12" s="50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6"/>
      <c r="R12" s="6"/>
      <c r="S12" s="6"/>
    </row>
    <row r="13" spans="4:19" ht="14.25" customHeight="1" x14ac:dyDescent="0.3">
      <c r="D13" s="50"/>
      <c r="E13" s="51"/>
      <c r="F13" s="51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6"/>
      <c r="R13" s="6"/>
      <c r="S13" s="6"/>
    </row>
    <row r="14" spans="4:19" ht="15" customHeight="1" x14ac:dyDescent="0.3">
      <c r="D14" s="50"/>
      <c r="E14" s="52"/>
      <c r="F14" s="52"/>
      <c r="G14" s="51"/>
      <c r="H14" s="52"/>
      <c r="I14" s="52"/>
      <c r="J14" s="52"/>
      <c r="K14" s="52"/>
      <c r="L14" s="52"/>
      <c r="M14" s="52"/>
      <c r="N14" s="52"/>
      <c r="O14" s="52"/>
      <c r="P14" s="52"/>
      <c r="Q14" s="6"/>
      <c r="R14" s="6"/>
      <c r="S14" s="6"/>
    </row>
    <row r="15" spans="4:19" ht="14.25" customHeight="1" x14ac:dyDescent="0.3">
      <c r="D15" s="49"/>
      <c r="E15" s="48"/>
      <c r="F15" s="48"/>
      <c r="G15" s="48"/>
      <c r="H15" s="48"/>
      <c r="I15" s="48"/>
      <c r="J15" s="48"/>
      <c r="K15" s="48"/>
      <c r="L15" s="48"/>
      <c r="M15" s="47"/>
      <c r="N15" s="48"/>
      <c r="O15" s="48"/>
      <c r="P15" s="48"/>
      <c r="Q15" s="53"/>
      <c r="R15" s="53"/>
      <c r="S15" s="53"/>
    </row>
    <row r="16" spans="4:19" ht="15" customHeight="1" x14ac:dyDescent="0.3">
      <c r="D16" s="50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6"/>
      <c r="R16" s="6"/>
      <c r="S16" s="6"/>
    </row>
    <row r="17" spans="4:19" ht="14.25" customHeight="1" x14ac:dyDescent="0.3">
      <c r="D17" s="54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6"/>
      <c r="R17" s="6"/>
      <c r="S17" s="6"/>
    </row>
    <row r="18" spans="4:19" ht="14.25" customHeight="1" x14ac:dyDescent="0.3">
      <c r="D18" s="56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6"/>
      <c r="R18" s="6"/>
      <c r="S18" s="6"/>
    </row>
    <row r="19" spans="4:19" ht="14.25" customHeight="1" x14ac:dyDescent="0.3">
      <c r="D19" s="56"/>
      <c r="E19" s="58"/>
      <c r="F19" s="58"/>
      <c r="G19" s="58"/>
      <c r="H19" s="58"/>
      <c r="I19" s="58"/>
      <c r="J19" s="58"/>
      <c r="K19" s="58"/>
      <c r="L19" s="57"/>
      <c r="M19" s="58"/>
      <c r="N19" s="58"/>
      <c r="O19" s="58"/>
      <c r="P19" s="58"/>
      <c r="Q19" s="6"/>
      <c r="R19" s="6"/>
      <c r="S19" s="6"/>
    </row>
    <row r="20" spans="4:19" ht="14.25" customHeight="1" x14ac:dyDescent="0.3">
      <c r="D20" s="56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3"/>
      <c r="R20" s="53"/>
    </row>
    <row r="21" spans="4:19" ht="14.25" customHeight="1" x14ac:dyDescent="0.3">
      <c r="D21" s="56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6"/>
      <c r="R21" s="6"/>
      <c r="S21" s="6"/>
    </row>
    <row r="22" spans="4:19" ht="14.25" customHeight="1" x14ac:dyDescent="0.3">
      <c r="D22" s="56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</row>
    <row r="23" spans="4:19" ht="14.25" customHeight="1" x14ac:dyDescent="0.3">
      <c r="D23" s="56"/>
      <c r="E23" s="58"/>
      <c r="F23" s="58"/>
      <c r="G23" s="58"/>
      <c r="H23" s="58"/>
      <c r="I23" s="58"/>
      <c r="J23" s="58"/>
      <c r="K23" s="58"/>
      <c r="L23" s="58"/>
      <c r="M23" s="57"/>
      <c r="N23" s="57"/>
      <c r="O23" s="57"/>
      <c r="P23" s="57"/>
      <c r="Q23" s="53"/>
      <c r="R23" s="53"/>
    </row>
    <row r="24" spans="4:19" ht="14.25" customHeight="1" x14ac:dyDescent="0.3">
      <c r="D24" s="56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</row>
    <row r="25" spans="4:19" ht="14.25" customHeight="1" x14ac:dyDescent="0.3">
      <c r="D25" s="56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</row>
    <row r="26" spans="4:19" ht="14.25" customHeight="1" x14ac:dyDescent="0.3">
      <c r="D26" s="56"/>
      <c r="E26" s="58"/>
      <c r="F26" s="58"/>
      <c r="G26" s="58"/>
      <c r="H26" s="58"/>
      <c r="I26" s="57"/>
      <c r="J26" s="58"/>
      <c r="K26" s="58"/>
      <c r="L26" s="58"/>
      <c r="M26" s="58"/>
      <c r="N26" s="57"/>
      <c r="O26" s="57"/>
      <c r="P26" s="58"/>
    </row>
    <row r="27" spans="4:19" ht="14.25" customHeight="1" x14ac:dyDescent="0.3">
      <c r="D27" s="56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</row>
    <row r="28" spans="4:19" ht="14.25" customHeight="1" x14ac:dyDescent="0.3">
      <c r="D28" s="56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</row>
    <row r="29" spans="4:19" ht="15" customHeight="1" x14ac:dyDescent="0.3">
      <c r="D29" s="56"/>
      <c r="E29" s="58"/>
      <c r="F29" s="58"/>
      <c r="G29" s="58"/>
      <c r="H29" s="58"/>
      <c r="I29" s="58"/>
      <c r="J29" s="58"/>
      <c r="K29" s="58"/>
      <c r="L29" s="57"/>
      <c r="M29" s="57"/>
      <c r="N29" s="57"/>
      <c r="O29" s="58"/>
      <c r="P29" s="57"/>
    </row>
    <row r="30" spans="4:19" ht="14.25" customHeight="1" x14ac:dyDescent="0.3">
      <c r="D30" s="46"/>
      <c r="E30" s="48"/>
      <c r="F30" s="48"/>
      <c r="G30" s="48"/>
      <c r="H30" s="48"/>
      <c r="I30" s="48"/>
      <c r="J30" s="48"/>
      <c r="K30" s="48"/>
      <c r="L30" s="47"/>
      <c r="M30" s="48"/>
      <c r="N30" s="48"/>
      <c r="O30" s="48"/>
      <c r="P30" s="48"/>
    </row>
    <row r="31" spans="4:19" ht="14.25" customHeight="1" x14ac:dyDescent="0.3">
      <c r="D31" s="50"/>
      <c r="E31" s="52"/>
      <c r="F31" s="52"/>
      <c r="G31" s="52"/>
      <c r="H31" s="52"/>
      <c r="I31" s="52"/>
      <c r="J31" s="52"/>
      <c r="K31" s="51"/>
      <c r="L31" s="52"/>
      <c r="M31" s="52"/>
      <c r="N31" s="52"/>
      <c r="O31" s="52"/>
      <c r="P31" s="52"/>
    </row>
    <row r="32" spans="4:19" ht="14.25" customHeight="1" x14ac:dyDescent="0.3">
      <c r="D32" s="50"/>
      <c r="E32" s="52"/>
      <c r="F32" s="52"/>
      <c r="G32" s="52"/>
      <c r="H32" s="52"/>
      <c r="I32" s="52"/>
      <c r="J32" s="51"/>
      <c r="K32" s="51"/>
      <c r="L32" s="51"/>
      <c r="M32" s="51"/>
      <c r="N32" s="51"/>
      <c r="O32" s="51"/>
      <c r="P32" s="51"/>
    </row>
    <row r="33" spans="4:16" ht="14.25" customHeight="1" x14ac:dyDescent="0.3">
      <c r="D33" s="50"/>
      <c r="E33" s="52"/>
      <c r="F33" s="52"/>
      <c r="G33" s="52"/>
      <c r="H33" s="52"/>
      <c r="I33" s="52"/>
      <c r="J33" s="51"/>
      <c r="K33" s="51"/>
      <c r="L33" s="51"/>
      <c r="M33" s="51"/>
      <c r="N33" s="51"/>
      <c r="O33" s="51"/>
      <c r="P33" s="51"/>
    </row>
    <row r="34" spans="4:16" ht="14.25" customHeight="1" x14ac:dyDescent="0.3">
      <c r="D34" s="50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</row>
    <row r="35" spans="4:16" ht="14.25" customHeight="1" x14ac:dyDescent="0.3">
      <c r="D35" s="50"/>
      <c r="E35" s="51"/>
      <c r="F35" s="51"/>
      <c r="G35" s="52"/>
      <c r="H35" s="52"/>
      <c r="I35" s="52"/>
      <c r="J35" s="51"/>
      <c r="K35" s="51"/>
      <c r="L35" s="52"/>
      <c r="M35" s="51"/>
      <c r="N35" s="51"/>
      <c r="O35" s="51"/>
      <c r="P35" s="51"/>
    </row>
    <row r="36" spans="4:16" ht="14.25" customHeight="1" x14ac:dyDescent="0.3">
      <c r="D36" s="50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</row>
    <row r="37" spans="4:16" ht="15" customHeight="1" x14ac:dyDescent="0.3">
      <c r="D37" s="50"/>
      <c r="E37" s="51"/>
      <c r="F37" s="51"/>
      <c r="G37" s="51"/>
      <c r="H37" s="51"/>
      <c r="I37" s="51"/>
      <c r="J37" s="52"/>
      <c r="K37" s="52"/>
      <c r="L37" s="51"/>
      <c r="M37" s="52"/>
      <c r="N37" s="52"/>
      <c r="O37" s="51"/>
      <c r="P37" s="51"/>
    </row>
    <row r="38" spans="4:16" ht="14.25" customHeight="1" x14ac:dyDescent="0.3">
      <c r="D38" s="54"/>
      <c r="E38" s="59"/>
      <c r="F38" s="55"/>
      <c r="G38" s="59"/>
      <c r="H38" s="59"/>
      <c r="I38" s="55"/>
      <c r="J38" s="55"/>
      <c r="K38" s="55"/>
      <c r="L38" s="55"/>
      <c r="M38" s="59"/>
      <c r="N38" s="59"/>
      <c r="O38" s="55"/>
      <c r="P38" s="59"/>
    </row>
    <row r="39" spans="4:16" ht="14.25" customHeight="1" x14ac:dyDescent="0.3">
      <c r="D39" s="60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</row>
    <row r="40" spans="4:16" ht="14.25" customHeight="1" x14ac:dyDescent="0.3">
      <c r="D40" s="62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</row>
    <row r="53" spans="4:21" ht="14.25" customHeight="1" x14ac:dyDescent="0.3">
      <c r="E53" s="10">
        <v>41699</v>
      </c>
      <c r="F53" s="10">
        <v>42064</v>
      </c>
      <c r="G53" s="10">
        <v>42430</v>
      </c>
      <c r="H53" s="10">
        <v>42795</v>
      </c>
      <c r="I53" s="10">
        <v>43160</v>
      </c>
      <c r="J53" s="10">
        <v>43525</v>
      </c>
      <c r="K53" s="10">
        <v>43891</v>
      </c>
      <c r="L53" s="10">
        <v>44256</v>
      </c>
      <c r="M53" s="10">
        <v>44621</v>
      </c>
      <c r="N53" s="10">
        <v>44986</v>
      </c>
      <c r="O53" s="10">
        <v>45352</v>
      </c>
      <c r="P53" s="10">
        <v>45717</v>
      </c>
    </row>
    <row r="54" spans="4:21" ht="14.25" customHeight="1" x14ac:dyDescent="0.3">
      <c r="D54" t="s">
        <v>94</v>
      </c>
      <c r="E54">
        <v>-244</v>
      </c>
      <c r="F54" s="6">
        <v>1055</v>
      </c>
      <c r="G54" s="6">
        <v>2385</v>
      </c>
      <c r="H54">
        <v>183</v>
      </c>
      <c r="I54">
        <v>682</v>
      </c>
      <c r="J54" s="6">
        <v>-4347</v>
      </c>
      <c r="K54" s="6">
        <v>-1457</v>
      </c>
      <c r="L54" s="6">
        <v>17909</v>
      </c>
      <c r="M54" s="6">
        <v>9248</v>
      </c>
      <c r="N54" s="6">
        <v>-7074</v>
      </c>
      <c r="O54" s="6">
        <v>-5630</v>
      </c>
      <c r="P54" s="6">
        <v>3176</v>
      </c>
    </row>
    <row r="55" spans="4:21" ht="14.25" customHeight="1" x14ac:dyDescent="0.3">
      <c r="D55" t="s">
        <v>20</v>
      </c>
      <c r="E55" s="6">
        <v>8086</v>
      </c>
      <c r="F55" s="6">
        <v>6454</v>
      </c>
      <c r="G55" s="6">
        <v>7595</v>
      </c>
      <c r="H55" s="6">
        <v>7911</v>
      </c>
      <c r="I55" s="6">
        <v>10159</v>
      </c>
      <c r="J55" s="6">
        <v>11112</v>
      </c>
      <c r="K55" s="6">
        <v>7774</v>
      </c>
      <c r="L55" s="6">
        <v>7588</v>
      </c>
      <c r="M55" s="6">
        <v>10515</v>
      </c>
      <c r="N55" s="6">
        <v>15642</v>
      </c>
      <c r="O55" s="6">
        <v>17541</v>
      </c>
      <c r="P55" s="6">
        <v>22050</v>
      </c>
    </row>
    <row r="56" spans="4:21" ht="14.25" customHeight="1" x14ac:dyDescent="0.3">
      <c r="D56" t="s">
        <v>16</v>
      </c>
      <c r="E56" s="6">
        <v>-2258</v>
      </c>
      <c r="F56">
        <v>-575</v>
      </c>
      <c r="G56">
        <v>177</v>
      </c>
      <c r="H56" s="6">
        <v>-8609</v>
      </c>
      <c r="I56" s="6">
        <v>-11918</v>
      </c>
      <c r="J56" s="6">
        <v>-13712</v>
      </c>
      <c r="K56" s="6">
        <v>-1516</v>
      </c>
      <c r="L56" s="6">
        <v>4896</v>
      </c>
      <c r="M56" s="6">
        <v>-2506</v>
      </c>
      <c r="N56" s="6">
        <v>-21702</v>
      </c>
      <c r="O56" s="6">
        <v>-21777</v>
      </c>
      <c r="P56" s="6">
        <v>-20952</v>
      </c>
    </row>
    <row r="57" spans="4:21" ht="14.25" customHeight="1" x14ac:dyDescent="0.3">
      <c r="D57" t="s">
        <v>17</v>
      </c>
      <c r="E57">
        <v>-78</v>
      </c>
      <c r="F57">
        <v>-62</v>
      </c>
      <c r="G57" s="6">
        <v>-1113</v>
      </c>
      <c r="H57">
        <v>241</v>
      </c>
      <c r="I57">
        <v>-256</v>
      </c>
      <c r="J57" s="6">
        <v>-2276</v>
      </c>
      <c r="K57" s="6">
        <v>1316</v>
      </c>
      <c r="L57">
        <v>226</v>
      </c>
      <c r="M57" s="6">
        <v>-2173</v>
      </c>
      <c r="N57" s="6">
        <v>-5252</v>
      </c>
      <c r="O57" s="6">
        <v>-1753</v>
      </c>
      <c r="P57" s="6">
        <v>-1646</v>
      </c>
      <c r="U57" s="6"/>
    </row>
    <row r="58" spans="4:21" ht="14.25" customHeight="1" x14ac:dyDescent="0.3">
      <c r="D58" t="s">
        <v>21</v>
      </c>
      <c r="E58" s="6">
        <v>1094</v>
      </c>
      <c r="F58" s="6">
        <v>1169</v>
      </c>
      <c r="G58" s="6">
        <v>1939</v>
      </c>
      <c r="H58" s="6">
        <v>2645</v>
      </c>
      <c r="I58" s="6">
        <v>5361</v>
      </c>
      <c r="J58" s="6">
        <v>3466</v>
      </c>
      <c r="K58" s="6">
        <v>-6775</v>
      </c>
      <c r="L58" s="6">
        <v>7049</v>
      </c>
      <c r="M58" s="6">
        <v>4972</v>
      </c>
      <c r="N58" s="6">
        <v>7013</v>
      </c>
      <c r="O58" s="6">
        <v>4354</v>
      </c>
      <c r="P58" s="6">
        <v>8485</v>
      </c>
    </row>
    <row r="59" spans="4:21" ht="14.25" customHeight="1" x14ac:dyDescent="0.3">
      <c r="D59" t="s">
        <v>22</v>
      </c>
      <c r="E59" s="6">
        <v>-5814</v>
      </c>
      <c r="F59" s="6">
        <v>-4229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4:21" ht="14.25" customHeight="1" x14ac:dyDescent="0.3">
      <c r="D60" t="s">
        <v>23</v>
      </c>
      <c r="E60">
        <v>0</v>
      </c>
      <c r="F60">
        <v>0</v>
      </c>
      <c r="G60" s="6">
        <v>-4241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4:21" ht="14.25" customHeight="1" x14ac:dyDescent="0.3">
      <c r="D61" t="s">
        <v>24</v>
      </c>
      <c r="E61" s="6">
        <v>-7055</v>
      </c>
      <c r="F61" s="6">
        <v>-3698</v>
      </c>
      <c r="G61" s="6">
        <v>-3238</v>
      </c>
      <c r="H61" s="6">
        <v>-5724</v>
      </c>
      <c r="I61" s="6">
        <v>-6813</v>
      </c>
      <c r="J61" s="6">
        <v>-12522</v>
      </c>
      <c r="K61" s="6">
        <v>-6974</v>
      </c>
      <c r="L61" s="6">
        <v>12171</v>
      </c>
      <c r="M61">
        <v>293</v>
      </c>
      <c r="N61" s="6">
        <v>-19941</v>
      </c>
      <c r="O61" s="6">
        <v>-19175</v>
      </c>
      <c r="P61" s="6">
        <v>-14113</v>
      </c>
    </row>
    <row r="62" spans="4:21" ht="14.25" customHeight="1" x14ac:dyDescent="0.3">
      <c r="D62" t="s">
        <v>25</v>
      </c>
      <c r="E62" s="6">
        <v>-1275</v>
      </c>
      <c r="F62" s="6">
        <v>-1701</v>
      </c>
      <c r="G62" s="6">
        <v>-1973</v>
      </c>
      <c r="H62" s="6">
        <v>-2005</v>
      </c>
      <c r="I62" s="6">
        <v>-2664</v>
      </c>
      <c r="J62" s="6">
        <v>-2937</v>
      </c>
      <c r="K62" s="6">
        <v>-2257</v>
      </c>
      <c r="L62" s="6">
        <v>-1850</v>
      </c>
      <c r="M62" s="6">
        <v>-1560</v>
      </c>
      <c r="N62" s="6">
        <v>-2775</v>
      </c>
      <c r="O62" s="6">
        <v>-3996</v>
      </c>
      <c r="P62" s="6">
        <v>-4761</v>
      </c>
    </row>
    <row r="63" spans="4:21" ht="14.25" customHeight="1" x14ac:dyDescent="0.3">
      <c r="D63" t="s">
        <v>95</v>
      </c>
      <c r="E63" s="6">
        <v>-4524</v>
      </c>
      <c r="F63" s="6">
        <v>-4357</v>
      </c>
      <c r="G63" s="6">
        <v>-5506</v>
      </c>
      <c r="H63" s="6">
        <v>-5875</v>
      </c>
      <c r="I63" s="6">
        <v>-5467</v>
      </c>
      <c r="J63" s="6">
        <v>-7174</v>
      </c>
      <c r="K63" s="6">
        <v>-6870</v>
      </c>
      <c r="L63" s="6">
        <v>-19686</v>
      </c>
      <c r="M63" s="6">
        <v>-3252</v>
      </c>
      <c r="N63" s="6">
        <v>-8866</v>
      </c>
      <c r="O63" s="6">
        <v>-5615</v>
      </c>
      <c r="P63" s="6">
        <v>-18616</v>
      </c>
    </row>
    <row r="64" spans="4:21" ht="14.25" customHeight="1" x14ac:dyDescent="0.3">
      <c r="D64" t="s">
        <v>26</v>
      </c>
      <c r="E64" s="6">
        <v>-3665</v>
      </c>
      <c r="F64" s="6">
        <v>-4759</v>
      </c>
      <c r="G64" s="6">
        <v>-4172</v>
      </c>
      <c r="H64" s="6">
        <v>-5026</v>
      </c>
      <c r="I64" s="6">
        <v>-5906</v>
      </c>
      <c r="J64" s="6">
        <v>-7340</v>
      </c>
      <c r="K64" s="6">
        <v>-6896</v>
      </c>
      <c r="L64" s="6">
        <v>-5989</v>
      </c>
      <c r="M64" s="6">
        <v>-6040</v>
      </c>
      <c r="N64" s="6">
        <v>-6305</v>
      </c>
      <c r="O64" s="6">
        <v>-9946</v>
      </c>
      <c r="P64" s="6">
        <v>-10392</v>
      </c>
    </row>
    <row r="65" spans="4:16" ht="14.25" customHeight="1" x14ac:dyDescent="0.3">
      <c r="D65" t="s">
        <v>27</v>
      </c>
      <c r="E65">
        <v>58</v>
      </c>
      <c r="F65">
        <v>43</v>
      </c>
      <c r="G65">
        <v>59</v>
      </c>
      <c r="H65">
        <v>63</v>
      </c>
      <c r="I65">
        <v>115</v>
      </c>
      <c r="J65">
        <v>142</v>
      </c>
      <c r="K65">
        <v>102</v>
      </c>
      <c r="L65" s="6">
        <v>1364</v>
      </c>
      <c r="M65">
        <v>120</v>
      </c>
      <c r="N65">
        <v>138</v>
      </c>
      <c r="O65">
        <v>273</v>
      </c>
      <c r="P65">
        <v>583</v>
      </c>
    </row>
    <row r="66" spans="4:16" ht="14.25" customHeight="1" x14ac:dyDescent="0.3">
      <c r="D66" t="s">
        <v>28</v>
      </c>
      <c r="E66" s="6">
        <v>-66102</v>
      </c>
      <c r="F66" s="6">
        <v>-80047</v>
      </c>
      <c r="G66" s="6">
        <v>-87898</v>
      </c>
      <c r="H66" s="6">
        <v>-132173</v>
      </c>
      <c r="I66" s="6">
        <v>-155159</v>
      </c>
      <c r="J66" s="6">
        <v>-196474</v>
      </c>
      <c r="K66" s="6">
        <v>-198568</v>
      </c>
      <c r="L66" s="6">
        <v>-120055</v>
      </c>
      <c r="M66" s="6">
        <v>-65421</v>
      </c>
      <c r="N66" s="6">
        <v>-50165</v>
      </c>
      <c r="O66" s="6">
        <v>-49927</v>
      </c>
      <c r="P66" s="6">
        <v>-90595</v>
      </c>
    </row>
    <row r="67" spans="4:16" ht="14.25" customHeight="1" x14ac:dyDescent="0.3">
      <c r="D67" t="s">
        <v>29</v>
      </c>
      <c r="E67" s="6">
        <v>64789</v>
      </c>
      <c r="F67" s="6">
        <v>79778</v>
      </c>
      <c r="G67" s="6">
        <v>86436</v>
      </c>
      <c r="H67" s="6">
        <v>130940</v>
      </c>
      <c r="I67" s="6">
        <v>154631</v>
      </c>
      <c r="J67" s="6">
        <v>195898</v>
      </c>
      <c r="K67" s="6">
        <v>198132</v>
      </c>
      <c r="L67" s="6">
        <v>111749</v>
      </c>
      <c r="M67" s="6">
        <v>65127</v>
      </c>
      <c r="N67" s="6">
        <v>46269</v>
      </c>
      <c r="O67" s="6">
        <v>50919</v>
      </c>
      <c r="P67" s="6">
        <v>85257</v>
      </c>
    </row>
    <row r="68" spans="4:16" ht="14.25" customHeight="1" x14ac:dyDescent="0.3">
      <c r="D68" t="s">
        <v>30</v>
      </c>
      <c r="E68">
        <v>231</v>
      </c>
      <c r="F68">
        <v>356</v>
      </c>
      <c r="G68">
        <v>311</v>
      </c>
      <c r="H68">
        <v>346</v>
      </c>
      <c r="I68">
        <v>254</v>
      </c>
      <c r="J68">
        <v>314</v>
      </c>
      <c r="K68">
        <v>372</v>
      </c>
      <c r="L68">
        <v>431</v>
      </c>
      <c r="M68">
        <v>420</v>
      </c>
      <c r="N68">
        <v>464</v>
      </c>
      <c r="O68">
        <v>703</v>
      </c>
      <c r="P68">
        <v>884</v>
      </c>
    </row>
    <row r="69" spans="4:16" ht="14.25" customHeight="1" x14ac:dyDescent="0.3">
      <c r="D69" t="s">
        <v>31</v>
      </c>
      <c r="E69">
        <v>24</v>
      </c>
      <c r="F69">
        <v>169</v>
      </c>
      <c r="G69">
        <v>208</v>
      </c>
      <c r="H69">
        <v>409</v>
      </c>
      <c r="I69">
        <v>316</v>
      </c>
      <c r="J69">
        <v>466</v>
      </c>
      <c r="K69">
        <v>722</v>
      </c>
      <c r="L69">
        <v>577</v>
      </c>
      <c r="M69" s="6">
        <v>1247</v>
      </c>
      <c r="N69" s="6">
        <v>1397</v>
      </c>
      <c r="O69" s="6">
        <v>1213</v>
      </c>
      <c r="P69" s="6">
        <v>1374</v>
      </c>
    </row>
    <row r="70" spans="4:16" ht="14.25" customHeight="1" x14ac:dyDescent="0.3">
      <c r="D70" t="s">
        <v>32</v>
      </c>
      <c r="E70">
        <v>0</v>
      </c>
      <c r="F70">
        <v>0</v>
      </c>
      <c r="G70">
        <v>-147</v>
      </c>
      <c r="H70">
        <v>-647</v>
      </c>
      <c r="I70">
        <v>-704</v>
      </c>
      <c r="J70">
        <v>-319</v>
      </c>
      <c r="K70">
        <v>-418</v>
      </c>
      <c r="L70">
        <v>-359</v>
      </c>
      <c r="M70">
        <v>-222</v>
      </c>
      <c r="N70">
        <v>-62</v>
      </c>
      <c r="O70">
        <v>-249</v>
      </c>
      <c r="P70">
        <v>-29</v>
      </c>
    </row>
    <row r="71" spans="4:16" ht="14.25" customHeight="1" x14ac:dyDescent="0.3">
      <c r="D71" t="s">
        <v>33</v>
      </c>
      <c r="E71">
        <v>-21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4:16" ht="14.25" customHeight="1" x14ac:dyDescent="0.3">
      <c r="D72" t="s">
        <v>34</v>
      </c>
      <c r="E72">
        <v>0</v>
      </c>
      <c r="F72">
        <v>401</v>
      </c>
      <c r="G72">
        <v>0</v>
      </c>
      <c r="H72">
        <v>88</v>
      </c>
      <c r="I72" s="6">
        <v>1677</v>
      </c>
      <c r="J72">
        <v>717</v>
      </c>
      <c r="K72">
        <v>175</v>
      </c>
      <c r="L72">
        <v>316</v>
      </c>
      <c r="M72">
        <v>617</v>
      </c>
      <c r="N72" s="6">
        <v>1863</v>
      </c>
      <c r="O72" s="6">
        <v>1043</v>
      </c>
      <c r="P72">
        <v>620</v>
      </c>
    </row>
    <row r="73" spans="4:16" ht="14.25" customHeight="1" x14ac:dyDescent="0.3">
      <c r="D73" t="s">
        <v>35</v>
      </c>
      <c r="E73">
        <v>0</v>
      </c>
      <c r="F73">
        <v>0</v>
      </c>
      <c r="G73">
        <v>-208</v>
      </c>
      <c r="H73">
        <v>-83</v>
      </c>
      <c r="I73">
        <v>-401</v>
      </c>
      <c r="J73">
        <v>0</v>
      </c>
      <c r="K73">
        <v>-59</v>
      </c>
      <c r="L73">
        <v>0</v>
      </c>
      <c r="M73">
        <v>-42</v>
      </c>
      <c r="N73">
        <v>-587</v>
      </c>
      <c r="O73">
        <v>-53</v>
      </c>
      <c r="P73">
        <v>0</v>
      </c>
    </row>
    <row r="74" spans="4:16" ht="14.25" customHeight="1" x14ac:dyDescent="0.3">
      <c r="D74" t="s">
        <v>36</v>
      </c>
      <c r="E74">
        <v>86</v>
      </c>
      <c r="F74">
        <v>-22</v>
      </c>
      <c r="G74">
        <v>0</v>
      </c>
      <c r="H74">
        <v>0</v>
      </c>
      <c r="I74">
        <v>0</v>
      </c>
      <c r="J74">
        <v>0</v>
      </c>
      <c r="K74">
        <v>6</v>
      </c>
      <c r="L74">
        <v>-262</v>
      </c>
      <c r="M74">
        <v>-552</v>
      </c>
      <c r="N74">
        <v>-93</v>
      </c>
      <c r="O74">
        <v>485</v>
      </c>
      <c r="P74">
        <v>-244</v>
      </c>
    </row>
    <row r="75" spans="4:16" ht="14.25" customHeight="1" x14ac:dyDescent="0.3">
      <c r="D75" t="s">
        <v>37</v>
      </c>
      <c r="E75">
        <v>77</v>
      </c>
      <c r="F75">
        <v>-275</v>
      </c>
      <c r="G75">
        <v>-94</v>
      </c>
      <c r="H75">
        <v>209</v>
      </c>
      <c r="I75">
        <v>-290</v>
      </c>
      <c r="J75">
        <v>-577</v>
      </c>
      <c r="K75">
        <v>-437</v>
      </c>
      <c r="L75" s="6">
        <v>-7457</v>
      </c>
      <c r="M75" s="6">
        <v>1494</v>
      </c>
      <c r="N75" s="6">
        <v>-1786</v>
      </c>
      <c r="O75">
        <v>-78</v>
      </c>
      <c r="P75" s="6">
        <v>-6075</v>
      </c>
    </row>
    <row r="76" spans="4:16" ht="14.25" customHeight="1" x14ac:dyDescent="0.3">
      <c r="D76" t="s">
        <v>96</v>
      </c>
      <c r="E76" s="6">
        <v>5577</v>
      </c>
      <c r="F76" s="6">
        <v>1669</v>
      </c>
      <c r="G76" s="6">
        <v>2967</v>
      </c>
      <c r="H76" s="6">
        <v>6108</v>
      </c>
      <c r="I76" s="6">
        <v>6314</v>
      </c>
      <c r="J76" s="6">
        <v>13194</v>
      </c>
      <c r="K76" s="6">
        <v>6933</v>
      </c>
      <c r="L76">
        <v>406</v>
      </c>
      <c r="M76" s="6">
        <v>-5883</v>
      </c>
      <c r="N76" s="6">
        <v>15946</v>
      </c>
      <c r="O76" s="6">
        <v>12281</v>
      </c>
      <c r="P76" s="6">
        <v>15834</v>
      </c>
    </row>
    <row r="77" spans="4:16" ht="14.25" customHeight="1" x14ac:dyDescent="0.3">
      <c r="D77" t="s">
        <v>38</v>
      </c>
      <c r="E77">
        <v>184</v>
      </c>
      <c r="F77">
        <v>3</v>
      </c>
      <c r="G77">
        <v>18</v>
      </c>
      <c r="H77">
        <v>12</v>
      </c>
      <c r="I77">
        <v>4</v>
      </c>
      <c r="J77">
        <v>1</v>
      </c>
      <c r="K77" s="6">
        <v>1243</v>
      </c>
      <c r="L77">
        <v>1</v>
      </c>
      <c r="M77">
        <v>1</v>
      </c>
      <c r="N77">
        <v>1</v>
      </c>
      <c r="O77">
        <v>1</v>
      </c>
      <c r="P77">
        <v>1</v>
      </c>
    </row>
    <row r="78" spans="4:16" ht="14.25" customHeight="1" x14ac:dyDescent="0.3">
      <c r="D78" t="s">
        <v>39</v>
      </c>
      <c r="E78">
        <v>-171</v>
      </c>
      <c r="F78">
        <v>0</v>
      </c>
      <c r="G78">
        <v>0</v>
      </c>
      <c r="H78">
        <v>0</v>
      </c>
      <c r="I78">
        <v>0</v>
      </c>
      <c r="J78" s="6">
        <v>71389</v>
      </c>
      <c r="K78" s="6">
        <v>52618</v>
      </c>
      <c r="L78" s="6">
        <v>38100</v>
      </c>
      <c r="M78" s="6">
        <v>53880</v>
      </c>
      <c r="N78" s="6">
        <v>55622</v>
      </c>
      <c r="O78" s="6">
        <v>61308</v>
      </c>
      <c r="P78" s="6">
        <v>82590</v>
      </c>
    </row>
    <row r="79" spans="4:16" ht="14.25" customHeight="1" x14ac:dyDescent="0.3">
      <c r="D79" t="s">
        <v>40</v>
      </c>
      <c r="E79">
        <v>0</v>
      </c>
      <c r="F79">
        <v>0</v>
      </c>
      <c r="G79">
        <v>0</v>
      </c>
      <c r="H79">
        <v>0</v>
      </c>
      <c r="I79">
        <v>0</v>
      </c>
      <c r="J79" s="6">
        <v>-56352</v>
      </c>
      <c r="K79" s="6">
        <v>-44044</v>
      </c>
      <c r="L79" s="6">
        <v>-37505</v>
      </c>
      <c r="M79" s="6">
        <v>-57223</v>
      </c>
      <c r="N79" s="6">
        <v>-37056</v>
      </c>
      <c r="O79" s="6">
        <v>-46805</v>
      </c>
      <c r="P79" s="6">
        <v>-64689</v>
      </c>
    </row>
    <row r="80" spans="4:16" ht="14.25" customHeight="1" x14ac:dyDescent="0.3">
      <c r="D80" t="s">
        <v>41</v>
      </c>
      <c r="E80">
        <v>-583</v>
      </c>
      <c r="F80">
        <v>-489</v>
      </c>
      <c r="G80">
        <v>-443</v>
      </c>
      <c r="H80">
        <v>-471</v>
      </c>
      <c r="I80">
        <v>-521</v>
      </c>
      <c r="J80">
        <v>-723</v>
      </c>
      <c r="K80">
        <v>-624</v>
      </c>
      <c r="L80">
        <v>-809</v>
      </c>
      <c r="M80">
        <v>-680</v>
      </c>
      <c r="N80">
        <v>-734</v>
      </c>
      <c r="O80">
        <v>-597</v>
      </c>
      <c r="P80">
        <v>-436</v>
      </c>
    </row>
    <row r="81" spans="4:17" ht="14.25" customHeight="1" x14ac:dyDescent="0.3">
      <c r="D81" t="s">
        <v>42</v>
      </c>
      <c r="E81" s="6">
        <v>-1094</v>
      </c>
      <c r="F81" s="6">
        <v>-1200</v>
      </c>
      <c r="G81">
        <v>-932</v>
      </c>
      <c r="H81">
        <v>-936</v>
      </c>
      <c r="I81">
        <v>-963</v>
      </c>
      <c r="J81" s="6">
        <v>-1134</v>
      </c>
      <c r="K81" s="6">
        <v>-1398</v>
      </c>
      <c r="L81">
        <v>-271</v>
      </c>
      <c r="M81" s="6">
        <v>-1037</v>
      </c>
      <c r="N81" s="6">
        <v>-1522</v>
      </c>
      <c r="O81" s="6">
        <v>-2247</v>
      </c>
      <c r="P81" s="6">
        <v>-2806</v>
      </c>
    </row>
    <row r="82" spans="4:17" ht="14.25" customHeight="1" x14ac:dyDescent="0.3">
      <c r="D82" t="s">
        <v>43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-558</v>
      </c>
      <c r="L82">
        <v>-553</v>
      </c>
      <c r="M82">
        <v>-583</v>
      </c>
      <c r="N82">
        <v>-751</v>
      </c>
      <c r="O82">
        <v>-786</v>
      </c>
      <c r="P82">
        <v>-887</v>
      </c>
    </row>
    <row r="83" spans="4:17" ht="14.25" customHeight="1" x14ac:dyDescent="0.3">
      <c r="D83" t="s">
        <v>44</v>
      </c>
      <c r="E83" s="6">
        <v>7242</v>
      </c>
      <c r="F83" s="6">
        <v>3355</v>
      </c>
      <c r="G83" s="6">
        <v>4324</v>
      </c>
      <c r="H83" s="6">
        <v>7503</v>
      </c>
      <c r="I83" s="6">
        <v>7794</v>
      </c>
      <c r="J83">
        <v>12</v>
      </c>
      <c r="K83">
        <v>-304</v>
      </c>
      <c r="L83" s="6">
        <v>1444</v>
      </c>
      <c r="M83">
        <v>-240</v>
      </c>
      <c r="N83">
        <v>386</v>
      </c>
      <c r="O83" s="6">
        <v>1408</v>
      </c>
      <c r="P83" s="6">
        <v>2062</v>
      </c>
    </row>
    <row r="84" spans="4:17" ht="14.25" customHeight="1" x14ac:dyDescent="0.3">
      <c r="D84" t="s">
        <v>45</v>
      </c>
      <c r="E84">
        <v>810</v>
      </c>
      <c r="F84" s="6">
        <v>-1633</v>
      </c>
      <c r="G84">
        <v>-154</v>
      </c>
      <c r="H84">
        <v>416</v>
      </c>
      <c r="I84" s="6">
        <v>1529</v>
      </c>
      <c r="J84" s="6">
        <v>1672</v>
      </c>
      <c r="K84" s="6">
        <v>-1394</v>
      </c>
      <c r="L84" s="6">
        <v>-1370</v>
      </c>
      <c r="M84">
        <v>113</v>
      </c>
      <c r="N84">
        <v>6</v>
      </c>
      <c r="O84" s="6">
        <v>1037</v>
      </c>
      <c r="P84">
        <v>394</v>
      </c>
    </row>
    <row r="85" spans="4:17" ht="14.25" customHeight="1" x14ac:dyDescent="0.3">
      <c r="D85" t="s">
        <v>97</v>
      </c>
      <c r="E85" s="6">
        <v>-3851</v>
      </c>
      <c r="F85" s="6">
        <v>-3661</v>
      </c>
      <c r="G85" s="6">
        <v>-1729</v>
      </c>
      <c r="H85" s="6">
        <v>-4780</v>
      </c>
      <c r="I85" s="6">
        <v>-5109</v>
      </c>
      <c r="J85" s="6">
        <v>-11546</v>
      </c>
      <c r="K85" s="6">
        <v>-8251</v>
      </c>
      <c r="L85" s="6">
        <v>13283</v>
      </c>
      <c r="M85" s="6">
        <v>3328</v>
      </c>
      <c r="N85" s="6">
        <v>-13241</v>
      </c>
      <c r="O85" s="6">
        <v>-15303</v>
      </c>
      <c r="P85" s="6">
        <v>-6633</v>
      </c>
    </row>
    <row r="86" spans="4:17" ht="14.25" customHeight="1" x14ac:dyDescent="0.3">
      <c r="D86" t="s">
        <v>98</v>
      </c>
      <c r="E86" s="53">
        <v>0.1</v>
      </c>
      <c r="F86" s="53">
        <v>0.31</v>
      </c>
      <c r="G86" s="53">
        <v>0.43</v>
      </c>
      <c r="H86" s="53">
        <v>0.2</v>
      </c>
      <c r="I86" s="53">
        <v>0.25</v>
      </c>
      <c r="J86" s="53">
        <v>-0.09</v>
      </c>
      <c r="K86" s="53">
        <v>0.08</v>
      </c>
      <c r="L86" s="53">
        <v>1.72</v>
      </c>
      <c r="M86" s="53">
        <v>0.74</v>
      </c>
      <c r="N86" s="53">
        <v>-0.21</v>
      </c>
      <c r="O86" s="53">
        <v>-7.0000000000000007E-2</v>
      </c>
      <c r="P86" s="53">
        <v>0.26</v>
      </c>
    </row>
    <row r="89" spans="4:17" ht="15" customHeight="1" x14ac:dyDescent="0.3">
      <c r="D89" s="16" t="s">
        <v>99</v>
      </c>
      <c r="E89" s="16">
        <v>42064</v>
      </c>
      <c r="F89" s="16">
        <v>42430</v>
      </c>
      <c r="G89" s="16">
        <v>42795</v>
      </c>
      <c r="H89" s="16">
        <v>43160</v>
      </c>
      <c r="I89" s="16">
        <v>43525</v>
      </c>
      <c r="J89" s="16">
        <v>43891</v>
      </c>
      <c r="K89" s="64">
        <v>43891</v>
      </c>
      <c r="L89" s="64">
        <v>44256</v>
      </c>
      <c r="M89" s="64">
        <v>44621</v>
      </c>
      <c r="N89" s="64">
        <v>44986</v>
      </c>
      <c r="O89" s="64">
        <v>45352</v>
      </c>
      <c r="P89" s="64">
        <v>45717</v>
      </c>
      <c r="Q89" s="10"/>
    </row>
    <row r="90" spans="4:17" ht="14.25" customHeight="1" x14ac:dyDescent="0.3"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0"/>
    </row>
    <row r="91" spans="4:17" ht="14.25" customHeight="1" x14ac:dyDescent="0.3">
      <c r="D91" s="5" t="s">
        <v>48</v>
      </c>
      <c r="E91" s="21">
        <v>295</v>
      </c>
      <c r="F91" s="21">
        <v>296</v>
      </c>
      <c r="G91" s="21">
        <v>270</v>
      </c>
      <c r="H91" s="21">
        <v>311</v>
      </c>
      <c r="I91" s="21">
        <v>543</v>
      </c>
      <c r="J91" s="21">
        <v>544</v>
      </c>
      <c r="K91" s="22">
        <v>554</v>
      </c>
      <c r="L91" s="22">
        <v>555</v>
      </c>
      <c r="M91" s="22">
        <v>556</v>
      </c>
      <c r="N91" s="22">
        <v>557</v>
      </c>
      <c r="O91" s="22">
        <v>557</v>
      </c>
      <c r="P91" s="22">
        <v>558</v>
      </c>
    </row>
    <row r="92" spans="4:17" ht="14.25" customHeight="1" x14ac:dyDescent="0.3">
      <c r="D92" s="5" t="s">
        <v>9</v>
      </c>
      <c r="E92" s="65">
        <v>23012</v>
      </c>
      <c r="F92" s="65">
        <v>25561</v>
      </c>
      <c r="G92" s="65">
        <v>26222</v>
      </c>
      <c r="H92" s="65">
        <v>29467</v>
      </c>
      <c r="I92" s="65">
        <v>36232</v>
      </c>
      <c r="J92" s="65">
        <v>39439</v>
      </c>
      <c r="K92" s="22">
        <v>39415</v>
      </c>
      <c r="L92" s="22">
        <v>41027</v>
      </c>
      <c r="M92" s="22">
        <v>46567</v>
      </c>
      <c r="N92" s="22">
        <v>55809</v>
      </c>
      <c r="O92" s="22">
        <v>65633</v>
      </c>
      <c r="P92" s="22">
        <v>76481</v>
      </c>
      <c r="Q92" s="6"/>
    </row>
    <row r="93" spans="4:17" ht="14.25" customHeight="1" x14ac:dyDescent="0.3">
      <c r="D93" t="s">
        <v>100</v>
      </c>
      <c r="E93" s="65">
        <v>35167</v>
      </c>
      <c r="F93" s="65">
        <v>37911</v>
      </c>
      <c r="G93" s="65">
        <v>41553</v>
      </c>
      <c r="H93" s="65">
        <v>48762</v>
      </c>
      <c r="I93" s="65">
        <v>55898</v>
      </c>
      <c r="J93" s="65">
        <v>70848</v>
      </c>
      <c r="K93" s="22"/>
      <c r="L93" s="22"/>
      <c r="M93" s="22"/>
      <c r="N93" s="22"/>
      <c r="O93" s="22"/>
      <c r="P93" s="22"/>
      <c r="Q93" s="6"/>
    </row>
    <row r="94" spans="4:17" ht="14.25" customHeight="1" x14ac:dyDescent="0.3">
      <c r="D94" t="s">
        <v>101</v>
      </c>
      <c r="E94" s="65">
        <v>25492</v>
      </c>
      <c r="F94" s="65">
        <v>22327</v>
      </c>
      <c r="G94" s="65">
        <v>23599</v>
      </c>
      <c r="H94" s="65">
        <v>30125</v>
      </c>
      <c r="I94" s="65">
        <v>33809</v>
      </c>
      <c r="J94" s="65">
        <v>43526</v>
      </c>
      <c r="K94" s="22">
        <v>52298</v>
      </c>
      <c r="L94" s="22">
        <v>52778</v>
      </c>
      <c r="M94" s="22">
        <v>48625</v>
      </c>
      <c r="N94" s="22">
        <v>55027</v>
      </c>
      <c r="O94" s="22">
        <v>69741</v>
      </c>
      <c r="P94" s="22">
        <v>83782</v>
      </c>
      <c r="Q94" s="6"/>
    </row>
    <row r="95" spans="4:17" ht="14.25" customHeight="1" x14ac:dyDescent="0.3">
      <c r="D95" t="s">
        <v>102</v>
      </c>
      <c r="E95" s="65">
        <v>2781</v>
      </c>
      <c r="F95" s="65">
        <v>7177</v>
      </c>
      <c r="G95" s="65">
        <v>7077</v>
      </c>
      <c r="H95" s="65">
        <v>10122</v>
      </c>
      <c r="I95" s="65">
        <v>11326</v>
      </c>
      <c r="J95" s="65">
        <v>10541</v>
      </c>
      <c r="K95" s="22">
        <v>10218</v>
      </c>
      <c r="L95" s="22">
        <v>4647</v>
      </c>
      <c r="M95" s="22">
        <v>26042</v>
      </c>
      <c r="N95" s="22">
        <v>33740</v>
      </c>
      <c r="O95" s="22">
        <v>35484</v>
      </c>
      <c r="P95" s="22">
        <v>41466</v>
      </c>
      <c r="Q95" s="6"/>
    </row>
    <row r="96" spans="4:17" ht="14.25" customHeight="1" x14ac:dyDescent="0.3">
      <c r="D96" t="s">
        <v>103</v>
      </c>
      <c r="E96" s="21">
        <v>0</v>
      </c>
      <c r="F96" s="21">
        <v>0</v>
      </c>
      <c r="G96" s="21">
        <v>0</v>
      </c>
      <c r="H96" s="21">
        <v>0</v>
      </c>
      <c r="I96" s="21">
        <v>0</v>
      </c>
      <c r="J96" s="21">
        <v>0</v>
      </c>
      <c r="K96" s="22">
        <v>0</v>
      </c>
      <c r="L96" s="22">
        <v>2666</v>
      </c>
      <c r="M96" s="22">
        <v>2938</v>
      </c>
      <c r="N96" s="22">
        <v>3480</v>
      </c>
      <c r="O96" s="22">
        <v>3422</v>
      </c>
      <c r="P96" s="22">
        <v>3776</v>
      </c>
      <c r="Q96" s="6"/>
    </row>
    <row r="97" spans="4:17" ht="14.25" customHeight="1" x14ac:dyDescent="0.3">
      <c r="D97" t="s">
        <v>104</v>
      </c>
      <c r="E97" s="21">
        <v>0</v>
      </c>
      <c r="F97" s="21">
        <v>0</v>
      </c>
      <c r="G97" s="21">
        <v>0</v>
      </c>
      <c r="H97" s="21">
        <v>0</v>
      </c>
      <c r="I97" s="21">
        <v>0</v>
      </c>
      <c r="J97" s="21">
        <v>0</v>
      </c>
      <c r="K97" s="22">
        <v>0</v>
      </c>
      <c r="L97" s="22">
        <v>0</v>
      </c>
      <c r="M97" s="22">
        <v>0</v>
      </c>
      <c r="N97" s="22">
        <v>0</v>
      </c>
      <c r="O97" s="22">
        <v>2022</v>
      </c>
      <c r="P97" s="22">
        <v>4075</v>
      </c>
    </row>
    <row r="98" spans="4:17" ht="14.25" customHeight="1" x14ac:dyDescent="0.3">
      <c r="D98" t="s">
        <v>105</v>
      </c>
      <c r="E98" s="65">
        <v>6894</v>
      </c>
      <c r="F98" s="65">
        <v>8407</v>
      </c>
      <c r="G98" s="65">
        <v>10877</v>
      </c>
      <c r="H98" s="65">
        <v>8516</v>
      </c>
      <c r="I98" s="65">
        <v>10763</v>
      </c>
      <c r="J98" s="65">
        <v>16781</v>
      </c>
      <c r="K98" s="22">
        <v>19577</v>
      </c>
      <c r="L98" s="22">
        <v>20533</v>
      </c>
      <c r="M98" s="22">
        <v>0</v>
      </c>
      <c r="N98" s="22">
        <v>0</v>
      </c>
      <c r="O98" s="22">
        <v>-2022</v>
      </c>
      <c r="P98" s="22">
        <v>-4075</v>
      </c>
    </row>
    <row r="99" spans="4:17" ht="14.25" customHeight="1" x14ac:dyDescent="0.3">
      <c r="D99" s="5" t="s">
        <v>106</v>
      </c>
      <c r="E99" s="65">
        <v>29415</v>
      </c>
      <c r="F99" s="65">
        <v>30608</v>
      </c>
      <c r="G99" s="65">
        <v>31806</v>
      </c>
      <c r="H99" s="65">
        <v>35296</v>
      </c>
      <c r="I99" s="65">
        <v>43696</v>
      </c>
      <c r="J99" s="65">
        <v>51057</v>
      </c>
      <c r="K99" s="22"/>
      <c r="L99" s="22"/>
      <c r="M99" s="22"/>
      <c r="N99" s="22"/>
      <c r="O99" s="22"/>
      <c r="P99" s="22"/>
      <c r="Q99" s="6"/>
    </row>
    <row r="100" spans="4:17" ht="14.25" customHeight="1" x14ac:dyDescent="0.3">
      <c r="D100" t="s">
        <v>107</v>
      </c>
      <c r="E100" s="65">
        <v>5733</v>
      </c>
      <c r="F100" s="65">
        <v>5892</v>
      </c>
      <c r="G100" s="65">
        <v>5920</v>
      </c>
      <c r="H100" s="65">
        <v>6357</v>
      </c>
      <c r="I100" s="65">
        <v>8250</v>
      </c>
      <c r="J100" s="65">
        <v>8361</v>
      </c>
      <c r="K100" s="22">
        <v>7692</v>
      </c>
      <c r="L100" s="22">
        <v>9070</v>
      </c>
      <c r="M100" s="22">
        <v>9703</v>
      </c>
      <c r="N100" s="22">
        <v>10716</v>
      </c>
      <c r="O100" s="22">
        <v>11319</v>
      </c>
      <c r="P100" s="22">
        <v>12059</v>
      </c>
      <c r="Q100" s="6"/>
    </row>
    <row r="101" spans="4:17" ht="14.25" customHeight="1" x14ac:dyDescent="0.3">
      <c r="D101" t="s">
        <v>108</v>
      </c>
      <c r="E101" s="65">
        <v>11800</v>
      </c>
      <c r="F101" s="65">
        <v>11421</v>
      </c>
      <c r="G101" s="65">
        <v>13376</v>
      </c>
      <c r="H101" s="65">
        <v>14797</v>
      </c>
      <c r="I101" s="65">
        <v>18287</v>
      </c>
      <c r="J101" s="65">
        <v>20992</v>
      </c>
      <c r="K101" s="22">
        <v>14985</v>
      </c>
      <c r="L101" s="22">
        <v>15506</v>
      </c>
      <c r="M101" s="22">
        <v>19037</v>
      </c>
      <c r="N101" s="22">
        <v>23836</v>
      </c>
      <c r="O101" s="22">
        <v>25666</v>
      </c>
      <c r="P101" s="22">
        <v>30855</v>
      </c>
      <c r="Q101" s="6"/>
    </row>
    <row r="102" spans="4:17" ht="14.25" customHeight="1" x14ac:dyDescent="0.3">
      <c r="D102" t="s">
        <v>109</v>
      </c>
      <c r="E102" s="21">
        <v>0</v>
      </c>
      <c r="F102" s="21">
        <v>0</v>
      </c>
      <c r="G102" s="21">
        <v>801</v>
      </c>
      <c r="H102" s="21">
        <v>515</v>
      </c>
      <c r="I102" s="21">
        <v>844</v>
      </c>
      <c r="J102" s="21">
        <v>0</v>
      </c>
      <c r="K102" s="22">
        <v>0</v>
      </c>
      <c r="L102" s="22">
        <v>0</v>
      </c>
      <c r="M102" s="22">
        <v>0</v>
      </c>
      <c r="N102" s="22">
        <v>0</v>
      </c>
      <c r="O102" s="22">
        <v>0</v>
      </c>
      <c r="P102" s="22">
        <v>0</v>
      </c>
    </row>
    <row r="103" spans="4:17" ht="14.25" customHeight="1" x14ac:dyDescent="0.3">
      <c r="D103" t="s">
        <v>110</v>
      </c>
      <c r="E103" s="6">
        <v>11882</v>
      </c>
      <c r="F103" s="6">
        <v>13295</v>
      </c>
      <c r="G103" s="6">
        <v>11709</v>
      </c>
      <c r="H103" s="6">
        <v>13627</v>
      </c>
      <c r="I103" s="6">
        <v>16314</v>
      </c>
      <c r="J103" s="6">
        <v>21704</v>
      </c>
      <c r="K103" s="23">
        <v>20977</v>
      </c>
      <c r="L103" s="23">
        <v>18185</v>
      </c>
      <c r="M103" s="23">
        <v>18921</v>
      </c>
      <c r="N103" s="23">
        <v>21119</v>
      </c>
      <c r="O103" s="23">
        <v>22900</v>
      </c>
      <c r="P103" s="23">
        <v>27035</v>
      </c>
      <c r="Q103" s="6"/>
    </row>
    <row r="104" spans="4:17" ht="14.25" customHeight="1" x14ac:dyDescent="0.3">
      <c r="D104" s="8" t="s">
        <v>12</v>
      </c>
      <c r="E104" s="66">
        <v>87889</v>
      </c>
      <c r="F104" s="66">
        <v>94376</v>
      </c>
      <c r="G104" s="66">
        <v>99852</v>
      </c>
      <c r="H104" s="66">
        <v>113835</v>
      </c>
      <c r="I104" s="66">
        <v>136369</v>
      </c>
      <c r="J104" s="66">
        <v>161889</v>
      </c>
      <c r="K104" s="67">
        <v>165716</v>
      </c>
      <c r="L104" s="67">
        <v>164968</v>
      </c>
      <c r="M104" s="67">
        <v>172388</v>
      </c>
      <c r="N104" s="67">
        <v>204283</v>
      </c>
      <c r="O104" s="67">
        <v>234722</v>
      </c>
      <c r="P104" s="67">
        <v>276013</v>
      </c>
      <c r="Q104" s="6"/>
    </row>
    <row r="105" spans="4:17" ht="14.25" customHeight="1" x14ac:dyDescent="0.3">
      <c r="D105" s="5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"/>
    </row>
    <row r="106" spans="4:17" ht="14.25" customHeight="1" x14ac:dyDescent="0.3">
      <c r="D106" s="5" t="s">
        <v>111</v>
      </c>
      <c r="E106" s="6">
        <v>18381</v>
      </c>
      <c r="F106" s="6">
        <v>19047</v>
      </c>
      <c r="G106" s="6">
        <v>20585</v>
      </c>
      <c r="H106" s="6">
        <v>20989</v>
      </c>
      <c r="I106" s="6">
        <v>26182</v>
      </c>
      <c r="J106" s="6">
        <v>28983</v>
      </c>
      <c r="K106" s="6"/>
      <c r="L106" s="6"/>
      <c r="M106" s="6"/>
      <c r="N106" s="6"/>
      <c r="O106" s="6"/>
      <c r="P106" s="6"/>
      <c r="Q106" s="6"/>
    </row>
    <row r="107" spans="4:17" ht="14.25" customHeight="1" x14ac:dyDescent="0.3">
      <c r="D107" t="s">
        <v>112</v>
      </c>
      <c r="E107" s="6">
        <v>3421</v>
      </c>
      <c r="F107" s="6">
        <v>3693</v>
      </c>
      <c r="G107" s="6">
        <v>3575</v>
      </c>
      <c r="H107" s="6">
        <v>4027</v>
      </c>
      <c r="I107" s="6">
        <v>4285</v>
      </c>
      <c r="J107" s="6">
        <v>4295</v>
      </c>
      <c r="K107" s="22">
        <v>4511</v>
      </c>
      <c r="L107" s="22">
        <v>1712</v>
      </c>
      <c r="M107" s="22">
        <v>1931</v>
      </c>
      <c r="N107" s="22">
        <v>1977</v>
      </c>
      <c r="O107" s="22">
        <v>2098</v>
      </c>
      <c r="P107" s="22">
        <v>2115</v>
      </c>
    </row>
    <row r="108" spans="4:17" ht="14.25" customHeight="1" x14ac:dyDescent="0.3">
      <c r="D108" t="s">
        <v>113</v>
      </c>
      <c r="E108" s="6">
        <v>7192</v>
      </c>
      <c r="F108" s="6">
        <v>7666</v>
      </c>
      <c r="G108" s="6">
        <v>7958</v>
      </c>
      <c r="H108" s="6">
        <v>8084</v>
      </c>
      <c r="I108" s="6">
        <v>8842</v>
      </c>
      <c r="J108" s="6">
        <v>9037</v>
      </c>
      <c r="K108" s="22">
        <v>11956</v>
      </c>
      <c r="L108" s="22">
        <v>8482</v>
      </c>
      <c r="M108" s="22">
        <v>9728</v>
      </c>
      <c r="N108" s="22">
        <v>10862</v>
      </c>
      <c r="O108" s="22">
        <v>11496</v>
      </c>
      <c r="P108" s="22">
        <v>13100</v>
      </c>
    </row>
    <row r="109" spans="4:17" ht="14.25" customHeight="1" x14ac:dyDescent="0.3">
      <c r="D109" t="s">
        <v>114</v>
      </c>
      <c r="E109" s="6">
        <v>23026</v>
      </c>
      <c r="F109" s="6">
        <v>25285</v>
      </c>
      <c r="G109" s="6">
        <v>27333</v>
      </c>
      <c r="H109" s="6">
        <v>28316</v>
      </c>
      <c r="I109" s="6">
        <v>32713</v>
      </c>
      <c r="J109" s="6">
        <v>35762</v>
      </c>
      <c r="K109" s="22">
        <v>38492</v>
      </c>
      <c r="L109" s="22">
        <v>22386</v>
      </c>
      <c r="M109" s="22">
        <v>26484</v>
      </c>
      <c r="N109" s="22">
        <v>24928</v>
      </c>
      <c r="O109" s="22">
        <v>27230</v>
      </c>
      <c r="P109" s="22">
        <v>32547</v>
      </c>
    </row>
    <row r="110" spans="4:17" ht="14.25" customHeight="1" x14ac:dyDescent="0.3">
      <c r="D110" t="s">
        <v>115</v>
      </c>
      <c r="E110">
        <v>229</v>
      </c>
      <c r="F110">
        <v>268</v>
      </c>
      <c r="G110">
        <v>317</v>
      </c>
      <c r="H110">
        <v>351</v>
      </c>
      <c r="I110">
        <v>372</v>
      </c>
      <c r="J110">
        <v>384</v>
      </c>
      <c r="K110" s="22">
        <v>417</v>
      </c>
      <c r="L110" s="22">
        <v>418</v>
      </c>
      <c r="M110" s="22">
        <v>445</v>
      </c>
      <c r="N110" s="22">
        <v>452</v>
      </c>
      <c r="O110" s="22">
        <v>481</v>
      </c>
      <c r="P110" s="22">
        <v>493</v>
      </c>
    </row>
    <row r="111" spans="4:17" ht="14.25" customHeight="1" x14ac:dyDescent="0.3">
      <c r="D111" t="s">
        <v>116</v>
      </c>
      <c r="E111" s="6">
        <v>1109</v>
      </c>
      <c r="F111">
        <v>909</v>
      </c>
      <c r="G111">
        <v>944</v>
      </c>
      <c r="H111">
        <v>974</v>
      </c>
      <c r="I111" s="6">
        <v>1059</v>
      </c>
      <c r="J111" s="6">
        <v>1079</v>
      </c>
      <c r="K111" s="22">
        <v>1160</v>
      </c>
      <c r="L111" s="22">
        <v>805</v>
      </c>
      <c r="M111" s="22">
        <v>844</v>
      </c>
      <c r="N111" s="22">
        <v>925</v>
      </c>
      <c r="O111" s="22">
        <v>1011</v>
      </c>
      <c r="P111" s="22">
        <v>1118</v>
      </c>
    </row>
    <row r="112" spans="4:17" ht="14.25" customHeight="1" x14ac:dyDescent="0.3">
      <c r="D112" t="s">
        <v>117</v>
      </c>
      <c r="E112">
        <v>573</v>
      </c>
      <c r="F112">
        <v>615</v>
      </c>
      <c r="G112">
        <v>652</v>
      </c>
      <c r="H112">
        <v>703</v>
      </c>
      <c r="I112">
        <v>788</v>
      </c>
      <c r="J112">
        <v>847</v>
      </c>
      <c r="K112" s="22">
        <v>1068</v>
      </c>
      <c r="L112" s="22">
        <v>986</v>
      </c>
      <c r="M112" s="22">
        <v>1090</v>
      </c>
      <c r="N112" s="22">
        <v>1238</v>
      </c>
      <c r="O112" s="22">
        <v>1356</v>
      </c>
      <c r="P112" s="22">
        <v>1593</v>
      </c>
    </row>
    <row r="113" spans="4:17" ht="14.25" customHeight="1" x14ac:dyDescent="0.3">
      <c r="D113" t="s">
        <v>118</v>
      </c>
      <c r="E113" s="6">
        <v>2835</v>
      </c>
      <c r="F113">
        <v>890</v>
      </c>
      <c r="G113" s="6">
        <v>3298</v>
      </c>
      <c r="H113" s="6">
        <v>3915</v>
      </c>
      <c r="I113" s="6">
        <v>7216</v>
      </c>
      <c r="J113" s="6">
        <v>9696</v>
      </c>
      <c r="K113" s="22">
        <v>9733</v>
      </c>
      <c r="L113" s="22">
        <v>6932</v>
      </c>
      <c r="M113" s="22">
        <v>7046</v>
      </c>
      <c r="N113" s="22">
        <v>10625</v>
      </c>
      <c r="O113" s="22">
        <v>11589</v>
      </c>
      <c r="P113" s="22">
        <v>13723</v>
      </c>
      <c r="Q113" s="6"/>
    </row>
    <row r="114" spans="4:17" ht="14.25" customHeight="1" x14ac:dyDescent="0.3">
      <c r="D114" t="s">
        <v>119</v>
      </c>
      <c r="E114">
        <v>622</v>
      </c>
      <c r="F114" s="6">
        <v>2236</v>
      </c>
      <c r="G114">
        <v>646</v>
      </c>
      <c r="H114">
        <v>758</v>
      </c>
      <c r="I114" s="6">
        <v>1064</v>
      </c>
      <c r="J114" s="6">
        <v>1113</v>
      </c>
      <c r="K114" s="22">
        <v>1265</v>
      </c>
      <c r="L114" s="22">
        <v>937</v>
      </c>
      <c r="M114" s="22">
        <v>958</v>
      </c>
      <c r="N114" s="22">
        <v>1084</v>
      </c>
      <c r="O114" s="22">
        <v>1202</v>
      </c>
      <c r="P114" s="22">
        <v>1454</v>
      </c>
    </row>
    <row r="115" spans="4:17" ht="14.25" customHeight="1" x14ac:dyDescent="0.3">
      <c r="D115" s="5" t="s">
        <v>56</v>
      </c>
      <c r="E115" s="6">
        <v>39008</v>
      </c>
      <c r="F115" s="6">
        <v>41563</v>
      </c>
      <c r="G115" s="6">
        <v>44723</v>
      </c>
      <c r="H115" s="6">
        <v>47128</v>
      </c>
      <c r="I115" s="6">
        <v>56339</v>
      </c>
      <c r="J115" s="6">
        <v>62211</v>
      </c>
      <c r="K115" s="22">
        <v>68602</v>
      </c>
      <c r="L115" s="22">
        <v>42658</v>
      </c>
      <c r="M115" s="22">
        <v>48526</v>
      </c>
      <c r="N115" s="22">
        <v>52090</v>
      </c>
      <c r="O115" s="22">
        <v>56462</v>
      </c>
      <c r="P115" s="22">
        <v>66143</v>
      </c>
    </row>
    <row r="116" spans="4:17" ht="14.25" customHeight="1" x14ac:dyDescent="0.3">
      <c r="D116" s="9" t="s">
        <v>120</v>
      </c>
      <c r="E116" s="69">
        <v>20627</v>
      </c>
      <c r="F116" s="69">
        <v>22516</v>
      </c>
      <c r="G116" s="69">
        <v>24138</v>
      </c>
      <c r="H116" s="69">
        <v>26139</v>
      </c>
      <c r="I116" s="69">
        <v>30157</v>
      </c>
      <c r="J116" s="69">
        <v>33229</v>
      </c>
      <c r="K116" s="70">
        <v>38913</v>
      </c>
      <c r="L116" s="70">
        <v>21278</v>
      </c>
      <c r="M116" s="70">
        <v>22508</v>
      </c>
      <c r="N116" s="70">
        <v>24950</v>
      </c>
      <c r="O116" s="70">
        <v>28333</v>
      </c>
      <c r="P116" s="70">
        <v>31506</v>
      </c>
    </row>
    <row r="117" spans="4:17" ht="14.25" customHeight="1" x14ac:dyDescent="0.3">
      <c r="D117" s="8" t="s">
        <v>121</v>
      </c>
      <c r="E117" s="65"/>
      <c r="F117" s="65"/>
      <c r="G117" s="65"/>
      <c r="H117" s="65"/>
      <c r="I117" s="65"/>
      <c r="J117" s="65"/>
      <c r="K117" s="22">
        <f t="shared" ref="K117:P117" si="0">K115-K116</f>
        <v>29689</v>
      </c>
      <c r="L117" s="22">
        <f t="shared" si="0"/>
        <v>21380</v>
      </c>
      <c r="M117" s="22">
        <f t="shared" si="0"/>
        <v>26018</v>
      </c>
      <c r="N117" s="22">
        <f t="shared" si="0"/>
        <v>27140</v>
      </c>
      <c r="O117" s="22">
        <f t="shared" si="0"/>
        <v>28129</v>
      </c>
      <c r="P117" s="22">
        <f t="shared" si="0"/>
        <v>34637</v>
      </c>
    </row>
    <row r="118" spans="4:17" ht="14.25" customHeight="1" x14ac:dyDescent="0.3">
      <c r="D118" s="5"/>
      <c r="E118" s="6"/>
      <c r="F118" s="6"/>
      <c r="G118" s="6"/>
      <c r="H118" s="6"/>
      <c r="I118" s="6"/>
      <c r="J118" s="6"/>
      <c r="K118" s="23"/>
      <c r="L118" s="23"/>
      <c r="M118" s="23"/>
      <c r="N118" s="23"/>
      <c r="O118" s="23"/>
      <c r="P118" s="23"/>
    </row>
    <row r="119" spans="4:17" ht="14.25" customHeight="1" x14ac:dyDescent="0.3">
      <c r="D119" s="5" t="s">
        <v>122</v>
      </c>
      <c r="E119" s="6">
        <v>2191</v>
      </c>
      <c r="F119" s="6">
        <v>3032</v>
      </c>
      <c r="G119" s="6">
        <v>2371</v>
      </c>
      <c r="H119" s="6">
        <v>4279</v>
      </c>
      <c r="I119" s="6">
        <v>4269</v>
      </c>
      <c r="J119" s="6">
        <v>4760</v>
      </c>
      <c r="K119" s="22">
        <v>6856</v>
      </c>
      <c r="L119" s="22">
        <v>7873</v>
      </c>
      <c r="M119" s="22">
        <v>6703</v>
      </c>
      <c r="N119" s="22">
        <v>3969</v>
      </c>
      <c r="O119" s="22">
        <v>8039</v>
      </c>
      <c r="P119" s="22">
        <v>8298</v>
      </c>
      <c r="Q119" s="6"/>
    </row>
    <row r="120" spans="4:17" ht="14.25" customHeight="1" x14ac:dyDescent="0.3">
      <c r="D120" s="5" t="s">
        <v>14</v>
      </c>
      <c r="E120" s="6">
        <v>8082</v>
      </c>
      <c r="F120" s="6">
        <v>10027</v>
      </c>
      <c r="G120" s="6">
        <v>11603</v>
      </c>
      <c r="H120" s="6">
        <v>14662</v>
      </c>
      <c r="I120" s="6">
        <v>16018</v>
      </c>
      <c r="J120" s="6">
        <v>18268</v>
      </c>
      <c r="K120" s="22">
        <v>19210</v>
      </c>
      <c r="L120" s="22">
        <v>28778</v>
      </c>
      <c r="M120" s="22">
        <v>30060</v>
      </c>
      <c r="N120" s="22">
        <v>35272</v>
      </c>
      <c r="O120" s="22">
        <v>35208</v>
      </c>
      <c r="P120" s="22">
        <v>41309</v>
      </c>
      <c r="Q120" s="6"/>
    </row>
    <row r="121" spans="4:17" ht="14.25" customHeight="1" x14ac:dyDescent="0.3">
      <c r="D121" s="5"/>
      <c r="E121" s="6"/>
      <c r="F121" s="6"/>
      <c r="G121" s="6"/>
      <c r="H121" s="6"/>
      <c r="I121" s="6"/>
      <c r="J121" s="6"/>
      <c r="K121" s="23"/>
      <c r="L121" s="23"/>
      <c r="M121" s="23"/>
      <c r="N121" s="23"/>
      <c r="O121" s="23"/>
      <c r="P121" s="23"/>
      <c r="Q121" s="6"/>
    </row>
    <row r="122" spans="4:17" ht="14.25" customHeight="1" x14ac:dyDescent="0.3">
      <c r="D122" s="5" t="s">
        <v>123</v>
      </c>
      <c r="E122" s="6">
        <v>59234</v>
      </c>
      <c r="F122" s="6">
        <v>62270</v>
      </c>
      <c r="G122" s="6">
        <v>65293</v>
      </c>
      <c r="H122" s="6">
        <v>73905</v>
      </c>
      <c r="I122" s="6">
        <v>89900</v>
      </c>
      <c r="J122" s="6">
        <v>109878</v>
      </c>
      <c r="K122" s="23"/>
      <c r="L122" s="23"/>
      <c r="M122" s="23"/>
      <c r="N122" s="23"/>
      <c r="O122" s="23"/>
      <c r="P122" s="23"/>
      <c r="Q122" s="6"/>
    </row>
    <row r="123" spans="4:17" ht="14.25" customHeight="1" x14ac:dyDescent="0.3">
      <c r="D123" t="s">
        <v>124</v>
      </c>
      <c r="E123" s="6">
        <v>8354</v>
      </c>
      <c r="F123" s="6">
        <v>8453</v>
      </c>
      <c r="G123" s="6">
        <v>9116</v>
      </c>
      <c r="H123" s="6">
        <v>8886</v>
      </c>
      <c r="I123" s="6">
        <v>9336</v>
      </c>
      <c r="J123" s="6">
        <v>12200</v>
      </c>
      <c r="K123" s="22">
        <v>11112</v>
      </c>
      <c r="L123" s="22">
        <v>9615</v>
      </c>
      <c r="M123" s="22">
        <v>11596</v>
      </c>
      <c r="N123" s="22">
        <v>16855</v>
      </c>
      <c r="O123" s="22">
        <v>18590</v>
      </c>
      <c r="P123" s="22">
        <v>20331</v>
      </c>
      <c r="Q123" s="6"/>
    </row>
    <row r="124" spans="4:17" ht="14.25" customHeight="1" x14ac:dyDescent="0.3">
      <c r="D124" t="s">
        <v>125</v>
      </c>
      <c r="E124" s="6">
        <v>5725</v>
      </c>
      <c r="F124" s="6">
        <v>5476</v>
      </c>
      <c r="G124" s="6">
        <v>5818</v>
      </c>
      <c r="H124" s="6">
        <v>7199</v>
      </c>
      <c r="I124" s="6">
        <v>8490</v>
      </c>
      <c r="J124" s="6">
        <v>8678</v>
      </c>
      <c r="K124" s="22">
        <v>6928</v>
      </c>
      <c r="L124" s="22">
        <v>6008</v>
      </c>
      <c r="M124" s="22">
        <v>6374</v>
      </c>
      <c r="N124" s="22">
        <v>7028</v>
      </c>
      <c r="O124" s="22">
        <v>7459</v>
      </c>
      <c r="P124" s="22">
        <v>8280</v>
      </c>
      <c r="Q124" s="6"/>
    </row>
    <row r="125" spans="4:17" ht="14.25" customHeight="1" x14ac:dyDescent="0.3">
      <c r="D125" t="s">
        <v>126</v>
      </c>
      <c r="E125" s="6">
        <v>6523</v>
      </c>
      <c r="F125" s="6">
        <v>4912</v>
      </c>
      <c r="G125" s="6">
        <v>4528</v>
      </c>
      <c r="H125" s="6">
        <v>4654</v>
      </c>
      <c r="I125" s="6">
        <v>6548</v>
      </c>
      <c r="J125" s="6">
        <v>8735</v>
      </c>
      <c r="K125" s="22">
        <v>7911</v>
      </c>
      <c r="L125" s="22">
        <v>12852</v>
      </c>
      <c r="M125" s="22">
        <v>11118</v>
      </c>
      <c r="N125" s="22">
        <v>11273</v>
      </c>
      <c r="O125" s="22">
        <v>12013</v>
      </c>
      <c r="P125" s="22">
        <v>20615</v>
      </c>
      <c r="Q125" s="6"/>
    </row>
    <row r="126" spans="4:17" ht="14.25" customHeight="1" x14ac:dyDescent="0.3">
      <c r="D126" t="s">
        <v>127</v>
      </c>
      <c r="E126" s="6">
        <v>12070</v>
      </c>
      <c r="F126">
        <v>-772</v>
      </c>
      <c r="G126" s="6">
        <v>-1096</v>
      </c>
      <c r="H126" s="6">
        <v>20566</v>
      </c>
      <c r="I126" s="6">
        <v>24614</v>
      </c>
      <c r="J126" s="6">
        <v>29130</v>
      </c>
      <c r="K126" s="22">
        <v>27859</v>
      </c>
      <c r="L126" s="22">
        <v>29080</v>
      </c>
      <c r="M126" s="22">
        <v>29242</v>
      </c>
      <c r="N126" s="22">
        <v>34685</v>
      </c>
      <c r="O126" s="22">
        <v>39060</v>
      </c>
      <c r="P126" s="22">
        <v>44645</v>
      </c>
      <c r="Q126" s="6"/>
    </row>
    <row r="127" spans="4:17" ht="14.25" customHeight="1" x14ac:dyDescent="0.3">
      <c r="D127" t="s">
        <v>128</v>
      </c>
      <c r="E127" s="6">
        <v>26563</v>
      </c>
      <c r="F127" s="6">
        <v>44201</v>
      </c>
      <c r="G127" s="6">
        <v>46928</v>
      </c>
      <c r="H127" s="6">
        <v>32599</v>
      </c>
      <c r="I127" s="6">
        <v>40913</v>
      </c>
      <c r="J127" s="6">
        <v>51135</v>
      </c>
      <c r="K127" s="71">
        <v>56150</v>
      </c>
      <c r="L127" s="22">
        <v>49383</v>
      </c>
      <c r="M127" s="22">
        <v>51277</v>
      </c>
      <c r="N127" s="22">
        <v>68061</v>
      </c>
      <c r="O127" s="22">
        <v>86222</v>
      </c>
      <c r="P127" s="22">
        <v>97900</v>
      </c>
      <c r="Q127" s="6"/>
    </row>
    <row r="128" spans="4:17" ht="14.25" customHeight="1" x14ac:dyDescent="0.3">
      <c r="D128" s="8" t="s">
        <v>19</v>
      </c>
      <c r="E128" s="66">
        <v>87889</v>
      </c>
      <c r="F128" s="66">
        <v>94376</v>
      </c>
      <c r="G128" s="66">
        <v>99852</v>
      </c>
      <c r="H128" s="66">
        <v>113835</v>
      </c>
      <c r="I128" s="66">
        <v>136369</v>
      </c>
      <c r="J128" s="66">
        <v>161889</v>
      </c>
      <c r="K128" s="67">
        <v>165716</v>
      </c>
      <c r="L128" s="67">
        <v>164968</v>
      </c>
      <c r="M128" s="67">
        <v>172388</v>
      </c>
      <c r="N128" s="67">
        <v>204283</v>
      </c>
      <c r="O128" s="67">
        <v>234722</v>
      </c>
      <c r="P128" s="67">
        <v>276013</v>
      </c>
      <c r="Q128" s="6"/>
    </row>
    <row r="130" spans="4:16" ht="14.25" customHeight="1" x14ac:dyDescent="0.3">
      <c r="E130" s="10">
        <v>41699</v>
      </c>
      <c r="F130" s="10">
        <v>42064</v>
      </c>
      <c r="G130" s="10">
        <v>42430</v>
      </c>
      <c r="H130" s="10">
        <v>42795</v>
      </c>
      <c r="I130" s="10">
        <v>43160</v>
      </c>
      <c r="J130" s="10">
        <v>43525</v>
      </c>
      <c r="K130" s="10">
        <v>43891</v>
      </c>
      <c r="L130" s="10">
        <v>44256</v>
      </c>
      <c r="M130" s="10">
        <v>44621</v>
      </c>
      <c r="N130" s="10">
        <v>44986</v>
      </c>
      <c r="O130" s="10">
        <v>45352</v>
      </c>
      <c r="P130" s="10">
        <v>45717</v>
      </c>
    </row>
    <row r="131" spans="4:16" ht="14.25" customHeight="1" x14ac:dyDescent="0.3">
      <c r="D131" t="s">
        <v>94</v>
      </c>
      <c r="E131">
        <v>-244</v>
      </c>
      <c r="F131" s="6">
        <v>1055</v>
      </c>
      <c r="G131" s="6">
        <v>2385</v>
      </c>
      <c r="H131">
        <v>183</v>
      </c>
      <c r="I131">
        <v>682</v>
      </c>
      <c r="J131" s="6">
        <v>-4347</v>
      </c>
      <c r="K131" s="6">
        <v>-1457</v>
      </c>
      <c r="L131" s="6">
        <v>17909</v>
      </c>
      <c r="M131" s="6">
        <v>9248</v>
      </c>
      <c r="N131" s="6">
        <v>-7074</v>
      </c>
      <c r="O131" s="6">
        <v>-5630</v>
      </c>
      <c r="P131" s="6">
        <v>3176</v>
      </c>
    </row>
    <row r="132" spans="4:16" ht="14.25" customHeight="1" x14ac:dyDescent="0.3">
      <c r="D132" t="s">
        <v>20</v>
      </c>
      <c r="E132" s="6">
        <v>8086</v>
      </c>
      <c r="F132" s="6">
        <v>6454</v>
      </c>
      <c r="G132" s="6">
        <v>7595</v>
      </c>
      <c r="H132" s="6">
        <v>7911</v>
      </c>
      <c r="I132" s="6">
        <v>10159</v>
      </c>
      <c r="J132" s="6">
        <v>11112</v>
      </c>
      <c r="K132" s="6">
        <v>7774</v>
      </c>
      <c r="L132" s="6">
        <v>7588</v>
      </c>
      <c r="M132" s="6">
        <v>10515</v>
      </c>
      <c r="N132" s="6">
        <v>15642</v>
      </c>
      <c r="O132" s="6">
        <v>17541</v>
      </c>
      <c r="P132" s="6">
        <v>22050</v>
      </c>
    </row>
    <row r="133" spans="4:16" ht="14.25" customHeight="1" x14ac:dyDescent="0.3">
      <c r="D133" t="s">
        <v>16</v>
      </c>
      <c r="E133" s="6">
        <v>-2258</v>
      </c>
      <c r="F133">
        <v>-575</v>
      </c>
      <c r="G133">
        <v>177</v>
      </c>
      <c r="H133" s="6">
        <v>-8609</v>
      </c>
      <c r="I133" s="6">
        <v>-11918</v>
      </c>
      <c r="J133" s="6">
        <v>-13712</v>
      </c>
      <c r="K133" s="6">
        <v>-1516</v>
      </c>
      <c r="L133" s="6">
        <v>4896</v>
      </c>
      <c r="M133" s="6">
        <v>-2506</v>
      </c>
      <c r="N133" s="6">
        <v>-21702</v>
      </c>
      <c r="O133" s="6">
        <v>-21777</v>
      </c>
      <c r="P133" s="6">
        <v>-20952</v>
      </c>
    </row>
    <row r="134" spans="4:16" ht="14.25" customHeight="1" x14ac:dyDescent="0.3">
      <c r="D134" t="s">
        <v>17</v>
      </c>
      <c r="E134">
        <v>-78</v>
      </c>
      <c r="F134">
        <v>-62</v>
      </c>
      <c r="G134" s="6">
        <v>-1113</v>
      </c>
      <c r="H134">
        <v>241</v>
      </c>
      <c r="I134">
        <v>-256</v>
      </c>
      <c r="J134" s="6">
        <v>-2276</v>
      </c>
      <c r="K134" s="6">
        <v>1316</v>
      </c>
      <c r="L134">
        <v>226</v>
      </c>
      <c r="M134" s="6">
        <v>-2173</v>
      </c>
      <c r="N134" s="6">
        <v>-5252</v>
      </c>
      <c r="O134" s="6">
        <v>-1753</v>
      </c>
      <c r="P134" s="6">
        <v>-1646</v>
      </c>
    </row>
    <row r="135" spans="4:16" ht="14.25" customHeight="1" x14ac:dyDescent="0.3">
      <c r="D135" t="s">
        <v>21</v>
      </c>
      <c r="E135" s="6">
        <v>1094</v>
      </c>
      <c r="F135" s="6">
        <v>1169</v>
      </c>
      <c r="G135" s="6">
        <v>1939</v>
      </c>
      <c r="H135" s="6">
        <v>2645</v>
      </c>
      <c r="I135" s="6">
        <v>5361</v>
      </c>
      <c r="J135" s="6">
        <v>3466</v>
      </c>
      <c r="K135" s="6">
        <v>-6775</v>
      </c>
      <c r="L135" s="6">
        <v>7049</v>
      </c>
      <c r="M135" s="6">
        <v>4972</v>
      </c>
      <c r="N135" s="6">
        <v>7013</v>
      </c>
      <c r="O135" s="6">
        <v>4354</v>
      </c>
      <c r="P135" s="6">
        <v>8485</v>
      </c>
    </row>
    <row r="136" spans="4:16" ht="14.25" customHeight="1" x14ac:dyDescent="0.3">
      <c r="D136" t="s">
        <v>22</v>
      </c>
      <c r="E136" s="6">
        <v>-5814</v>
      </c>
      <c r="F136" s="6">
        <v>-4229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 spans="4:16" ht="14.25" customHeight="1" x14ac:dyDescent="0.3">
      <c r="D137" t="s">
        <v>23</v>
      </c>
      <c r="E137">
        <v>0</v>
      </c>
      <c r="F137">
        <v>0</v>
      </c>
      <c r="G137" s="6">
        <v>-4241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 spans="4:16" ht="14.25" customHeight="1" x14ac:dyDescent="0.3">
      <c r="D138" t="s">
        <v>24</v>
      </c>
      <c r="E138" s="6">
        <v>-7055</v>
      </c>
      <c r="F138" s="6">
        <v>-3698</v>
      </c>
      <c r="G138" s="6">
        <v>-3238</v>
      </c>
      <c r="H138" s="6">
        <v>-5724</v>
      </c>
      <c r="I138" s="6">
        <v>-6813</v>
      </c>
      <c r="J138" s="6">
        <v>-12522</v>
      </c>
      <c r="K138" s="6">
        <v>-6974</v>
      </c>
      <c r="L138" s="6">
        <v>12171</v>
      </c>
      <c r="M138">
        <v>293</v>
      </c>
      <c r="N138" s="6">
        <v>-19941</v>
      </c>
      <c r="O138" s="6">
        <v>-19175</v>
      </c>
      <c r="P138" s="6">
        <v>-14113</v>
      </c>
    </row>
    <row r="139" spans="4:16" ht="14.25" customHeight="1" x14ac:dyDescent="0.3">
      <c r="D139" t="s">
        <v>25</v>
      </c>
      <c r="E139" s="6">
        <v>-1275</v>
      </c>
      <c r="F139" s="6">
        <v>-1701</v>
      </c>
      <c r="G139" s="6">
        <v>-1973</v>
      </c>
      <c r="H139" s="6">
        <v>-2005</v>
      </c>
      <c r="I139" s="6">
        <v>-2664</v>
      </c>
      <c r="J139" s="6">
        <v>-2937</v>
      </c>
      <c r="K139" s="6">
        <v>-2257</v>
      </c>
      <c r="L139" s="6">
        <v>-1850</v>
      </c>
      <c r="M139" s="6">
        <v>-1560</v>
      </c>
      <c r="N139" s="6">
        <v>-2775</v>
      </c>
      <c r="O139" s="6">
        <v>-3996</v>
      </c>
      <c r="P139" s="6">
        <v>-4761</v>
      </c>
    </row>
    <row r="140" spans="4:16" ht="14.25" customHeight="1" x14ac:dyDescent="0.3">
      <c r="D140" t="s">
        <v>95</v>
      </c>
      <c r="E140" s="6">
        <v>-4524</v>
      </c>
      <c r="F140" s="6">
        <v>-4357</v>
      </c>
      <c r="G140" s="6">
        <v>-5506</v>
      </c>
      <c r="H140" s="6">
        <v>-5875</v>
      </c>
      <c r="I140" s="6">
        <v>-5467</v>
      </c>
      <c r="J140" s="6">
        <v>-7174</v>
      </c>
      <c r="K140" s="6">
        <v>-6870</v>
      </c>
      <c r="L140" s="6">
        <v>-19686</v>
      </c>
      <c r="M140" s="6">
        <v>-3252</v>
      </c>
      <c r="N140" s="6">
        <v>-8866</v>
      </c>
      <c r="O140" s="6">
        <v>-5615</v>
      </c>
      <c r="P140" s="6">
        <v>-18616</v>
      </c>
    </row>
    <row r="141" spans="4:16" ht="14.25" customHeight="1" x14ac:dyDescent="0.3">
      <c r="D141" t="s">
        <v>26</v>
      </c>
      <c r="E141" s="6">
        <v>-3665</v>
      </c>
      <c r="F141" s="6">
        <v>-4759</v>
      </c>
      <c r="G141" s="6">
        <v>-4172</v>
      </c>
      <c r="H141" s="6">
        <v>-5026</v>
      </c>
      <c r="I141" s="6">
        <v>-5906</v>
      </c>
      <c r="J141" s="6">
        <v>-7340</v>
      </c>
      <c r="K141" s="6">
        <v>-6896</v>
      </c>
      <c r="L141" s="6">
        <v>-5989</v>
      </c>
      <c r="M141" s="6">
        <v>-6040</v>
      </c>
      <c r="N141" s="6">
        <v>-6305</v>
      </c>
      <c r="O141" s="6">
        <v>-9946</v>
      </c>
      <c r="P141" s="6">
        <v>-10392</v>
      </c>
    </row>
    <row r="142" spans="4:16" ht="14.25" customHeight="1" x14ac:dyDescent="0.3">
      <c r="D142" t="s">
        <v>27</v>
      </c>
      <c r="E142">
        <v>58</v>
      </c>
      <c r="F142">
        <v>43</v>
      </c>
      <c r="G142">
        <v>59</v>
      </c>
      <c r="H142">
        <v>63</v>
      </c>
      <c r="I142">
        <v>115</v>
      </c>
      <c r="J142">
        <v>142</v>
      </c>
      <c r="K142">
        <v>102</v>
      </c>
      <c r="L142" s="6">
        <v>1364</v>
      </c>
      <c r="M142">
        <v>120</v>
      </c>
      <c r="N142">
        <v>138</v>
      </c>
      <c r="O142">
        <v>273</v>
      </c>
      <c r="P142">
        <v>583</v>
      </c>
    </row>
    <row r="143" spans="4:16" ht="14.25" customHeight="1" x14ac:dyDescent="0.3">
      <c r="D143" t="s">
        <v>28</v>
      </c>
      <c r="E143" s="6">
        <v>-66102</v>
      </c>
      <c r="F143" s="6">
        <v>-80047</v>
      </c>
      <c r="G143" s="6">
        <v>-87898</v>
      </c>
      <c r="H143" s="6">
        <v>-132173</v>
      </c>
      <c r="I143" s="6">
        <v>-155159</v>
      </c>
      <c r="J143" s="6">
        <v>-196474</v>
      </c>
      <c r="K143" s="6">
        <v>-198568</v>
      </c>
      <c r="L143" s="6">
        <v>-120055</v>
      </c>
      <c r="M143" s="6">
        <v>-65421</v>
      </c>
      <c r="N143" s="6">
        <v>-50165</v>
      </c>
      <c r="O143" s="6">
        <v>-49927</v>
      </c>
      <c r="P143" s="6">
        <v>-90595</v>
      </c>
    </row>
    <row r="144" spans="4:16" ht="14.25" customHeight="1" x14ac:dyDescent="0.3">
      <c r="D144" t="s">
        <v>29</v>
      </c>
      <c r="E144" s="6">
        <v>64789</v>
      </c>
      <c r="F144" s="6">
        <v>79778</v>
      </c>
      <c r="G144" s="6">
        <v>86436</v>
      </c>
      <c r="H144" s="6">
        <v>130940</v>
      </c>
      <c r="I144" s="6">
        <v>154631</v>
      </c>
      <c r="J144" s="6">
        <v>195898</v>
      </c>
      <c r="K144" s="6">
        <v>198132</v>
      </c>
      <c r="L144" s="6">
        <v>111749</v>
      </c>
      <c r="M144" s="6">
        <v>65127</v>
      </c>
      <c r="N144" s="6">
        <v>46269</v>
      </c>
      <c r="O144" s="6">
        <v>50919</v>
      </c>
      <c r="P144" s="6">
        <v>85257</v>
      </c>
    </row>
    <row r="145" spans="4:16" ht="14.25" customHeight="1" x14ac:dyDescent="0.3">
      <c r="D145" t="s">
        <v>30</v>
      </c>
      <c r="E145">
        <v>231</v>
      </c>
      <c r="F145">
        <v>356</v>
      </c>
      <c r="G145">
        <v>311</v>
      </c>
      <c r="H145">
        <v>346</v>
      </c>
      <c r="I145">
        <v>254</v>
      </c>
      <c r="J145">
        <v>314</v>
      </c>
      <c r="K145">
        <v>372</v>
      </c>
      <c r="L145">
        <v>431</v>
      </c>
      <c r="M145">
        <v>420</v>
      </c>
      <c r="N145">
        <v>464</v>
      </c>
      <c r="O145">
        <v>703</v>
      </c>
      <c r="P145">
        <v>884</v>
      </c>
    </row>
    <row r="146" spans="4:16" ht="14.25" customHeight="1" x14ac:dyDescent="0.3">
      <c r="D146" t="s">
        <v>31</v>
      </c>
      <c r="E146">
        <v>24</v>
      </c>
      <c r="F146">
        <v>169</v>
      </c>
      <c r="G146">
        <v>208</v>
      </c>
      <c r="H146">
        <v>409</v>
      </c>
      <c r="I146">
        <v>316</v>
      </c>
      <c r="J146">
        <v>466</v>
      </c>
      <c r="K146">
        <v>722</v>
      </c>
      <c r="L146">
        <v>577</v>
      </c>
      <c r="M146" s="6">
        <v>1247</v>
      </c>
      <c r="N146" s="6">
        <v>1397</v>
      </c>
      <c r="O146" s="6">
        <v>1213</v>
      </c>
      <c r="P146" s="6">
        <v>1374</v>
      </c>
    </row>
    <row r="147" spans="4:16" ht="14.25" customHeight="1" x14ac:dyDescent="0.3">
      <c r="D147" t="s">
        <v>32</v>
      </c>
      <c r="E147">
        <v>0</v>
      </c>
      <c r="F147">
        <v>0</v>
      </c>
      <c r="G147">
        <v>-147</v>
      </c>
      <c r="H147">
        <v>-647</v>
      </c>
      <c r="I147">
        <v>-704</v>
      </c>
      <c r="J147">
        <v>-319</v>
      </c>
      <c r="K147">
        <v>-418</v>
      </c>
      <c r="L147">
        <v>-359</v>
      </c>
      <c r="M147">
        <v>-222</v>
      </c>
      <c r="N147">
        <v>-62</v>
      </c>
      <c r="O147">
        <v>-249</v>
      </c>
      <c r="P147">
        <v>-29</v>
      </c>
    </row>
    <row r="148" spans="4:16" ht="14.25" customHeight="1" x14ac:dyDescent="0.3">
      <c r="D148" t="s">
        <v>33</v>
      </c>
      <c r="E148">
        <v>-21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</row>
    <row r="149" spans="4:16" ht="14.25" customHeight="1" x14ac:dyDescent="0.3">
      <c r="D149" t="s">
        <v>34</v>
      </c>
      <c r="E149">
        <v>0</v>
      </c>
      <c r="F149">
        <v>401</v>
      </c>
      <c r="G149">
        <v>0</v>
      </c>
      <c r="H149">
        <v>88</v>
      </c>
      <c r="I149" s="6">
        <v>1677</v>
      </c>
      <c r="J149">
        <v>717</v>
      </c>
      <c r="K149">
        <v>175</v>
      </c>
      <c r="L149">
        <v>316</v>
      </c>
      <c r="M149">
        <v>617</v>
      </c>
      <c r="N149" s="6">
        <v>1863</v>
      </c>
      <c r="O149" s="6">
        <v>1043</v>
      </c>
      <c r="P149">
        <v>620</v>
      </c>
    </row>
    <row r="150" spans="4:16" ht="14.25" customHeight="1" x14ac:dyDescent="0.3">
      <c r="D150" t="s">
        <v>35</v>
      </c>
      <c r="E150">
        <v>0</v>
      </c>
      <c r="F150">
        <v>0</v>
      </c>
      <c r="G150">
        <v>-208</v>
      </c>
      <c r="H150">
        <v>-83</v>
      </c>
      <c r="I150">
        <v>-401</v>
      </c>
      <c r="J150">
        <v>0</v>
      </c>
      <c r="K150">
        <v>-59</v>
      </c>
      <c r="L150">
        <v>0</v>
      </c>
      <c r="M150">
        <v>-42</v>
      </c>
      <c r="N150">
        <v>-587</v>
      </c>
      <c r="O150">
        <v>-53</v>
      </c>
      <c r="P150">
        <v>0</v>
      </c>
    </row>
    <row r="151" spans="4:16" ht="14.25" customHeight="1" x14ac:dyDescent="0.3">
      <c r="D151" t="s">
        <v>36</v>
      </c>
      <c r="E151">
        <v>86</v>
      </c>
      <c r="F151">
        <v>-22</v>
      </c>
      <c r="G151">
        <v>0</v>
      </c>
      <c r="H151">
        <v>0</v>
      </c>
      <c r="I151">
        <v>0</v>
      </c>
      <c r="J151">
        <v>0</v>
      </c>
      <c r="K151">
        <v>6</v>
      </c>
      <c r="L151">
        <v>-262</v>
      </c>
      <c r="M151">
        <v>-552</v>
      </c>
      <c r="N151">
        <v>-93</v>
      </c>
      <c r="O151">
        <v>485</v>
      </c>
      <c r="P151">
        <v>-244</v>
      </c>
    </row>
    <row r="152" spans="4:16" ht="14.25" customHeight="1" x14ac:dyDescent="0.3">
      <c r="D152" t="s">
        <v>37</v>
      </c>
      <c r="E152">
        <v>77</v>
      </c>
      <c r="F152">
        <v>-275</v>
      </c>
      <c r="G152">
        <v>-94</v>
      </c>
      <c r="H152">
        <v>209</v>
      </c>
      <c r="I152">
        <v>-290</v>
      </c>
      <c r="J152">
        <v>-577</v>
      </c>
      <c r="K152">
        <v>-437</v>
      </c>
      <c r="L152" s="6">
        <v>-7457</v>
      </c>
      <c r="M152" s="6">
        <v>1494</v>
      </c>
      <c r="N152" s="6">
        <v>-1786</v>
      </c>
      <c r="O152">
        <v>-78</v>
      </c>
      <c r="P152" s="6">
        <v>-6075</v>
      </c>
    </row>
    <row r="153" spans="4:16" ht="14.25" customHeight="1" x14ac:dyDescent="0.3">
      <c r="D153" t="s">
        <v>96</v>
      </c>
      <c r="E153" s="6">
        <v>5577</v>
      </c>
      <c r="F153" s="6">
        <v>1669</v>
      </c>
      <c r="G153" s="6">
        <v>2967</v>
      </c>
      <c r="H153" s="6">
        <v>6108</v>
      </c>
      <c r="I153" s="6">
        <v>6314</v>
      </c>
      <c r="J153" s="6">
        <v>13194</v>
      </c>
      <c r="K153" s="6">
        <v>6933</v>
      </c>
      <c r="L153">
        <v>406</v>
      </c>
      <c r="M153" s="6">
        <v>-5883</v>
      </c>
      <c r="N153" s="6">
        <v>15946</v>
      </c>
      <c r="O153" s="6">
        <v>12281</v>
      </c>
      <c r="P153" s="6">
        <v>15834</v>
      </c>
    </row>
    <row r="154" spans="4:16" ht="14.25" customHeight="1" x14ac:dyDescent="0.3">
      <c r="D154" t="s">
        <v>38</v>
      </c>
      <c r="E154">
        <v>184</v>
      </c>
      <c r="F154">
        <v>3</v>
      </c>
      <c r="G154">
        <v>18</v>
      </c>
      <c r="H154">
        <v>12</v>
      </c>
      <c r="I154">
        <v>4</v>
      </c>
      <c r="J154">
        <v>1</v>
      </c>
      <c r="K154" s="6">
        <v>1243</v>
      </c>
      <c r="L154">
        <v>1</v>
      </c>
      <c r="M154">
        <v>1</v>
      </c>
      <c r="N154">
        <v>1</v>
      </c>
      <c r="O154">
        <v>1</v>
      </c>
      <c r="P154">
        <v>1</v>
      </c>
    </row>
    <row r="155" spans="4:16" ht="14.25" customHeight="1" x14ac:dyDescent="0.3">
      <c r="D155" t="s">
        <v>39</v>
      </c>
      <c r="E155">
        <v>-171</v>
      </c>
      <c r="F155">
        <v>0</v>
      </c>
      <c r="G155">
        <v>0</v>
      </c>
      <c r="H155">
        <v>0</v>
      </c>
      <c r="I155">
        <v>0</v>
      </c>
      <c r="J155" s="6">
        <v>71389</v>
      </c>
      <c r="K155" s="6">
        <v>52618</v>
      </c>
      <c r="L155" s="6">
        <v>38100</v>
      </c>
      <c r="M155" s="6">
        <v>53880</v>
      </c>
      <c r="N155" s="6">
        <v>55622</v>
      </c>
      <c r="O155" s="6">
        <v>61308</v>
      </c>
      <c r="P155" s="6">
        <v>82590</v>
      </c>
    </row>
    <row r="156" spans="4:16" ht="14.25" customHeight="1" x14ac:dyDescent="0.3">
      <c r="D156" t="s">
        <v>40</v>
      </c>
      <c r="E156">
        <v>0</v>
      </c>
      <c r="F156">
        <v>0</v>
      </c>
      <c r="G156">
        <v>0</v>
      </c>
      <c r="H156">
        <v>0</v>
      </c>
      <c r="I156">
        <v>0</v>
      </c>
      <c r="J156" s="6">
        <v>-56352</v>
      </c>
      <c r="K156" s="6">
        <v>-44044</v>
      </c>
      <c r="L156" s="6">
        <v>-37505</v>
      </c>
      <c r="M156" s="6">
        <v>-57223</v>
      </c>
      <c r="N156" s="6">
        <v>-37056</v>
      </c>
      <c r="O156" s="6">
        <v>-46805</v>
      </c>
      <c r="P156" s="6">
        <v>-64689</v>
      </c>
    </row>
    <row r="157" spans="4:16" ht="14.25" customHeight="1" x14ac:dyDescent="0.3">
      <c r="D157" t="s">
        <v>41</v>
      </c>
      <c r="E157">
        <v>-583</v>
      </c>
      <c r="F157">
        <v>-489</v>
      </c>
      <c r="G157">
        <v>-443</v>
      </c>
      <c r="H157">
        <v>-471</v>
      </c>
      <c r="I157">
        <v>-521</v>
      </c>
      <c r="J157">
        <v>-723</v>
      </c>
      <c r="K157">
        <v>-624</v>
      </c>
      <c r="L157">
        <v>-809</v>
      </c>
      <c r="M157">
        <v>-680</v>
      </c>
      <c r="N157">
        <v>-734</v>
      </c>
      <c r="O157">
        <v>-597</v>
      </c>
      <c r="P157">
        <v>-436</v>
      </c>
    </row>
    <row r="158" spans="4:16" ht="14.25" customHeight="1" x14ac:dyDescent="0.3">
      <c r="D158" t="s">
        <v>42</v>
      </c>
      <c r="E158" s="6">
        <v>-1094</v>
      </c>
      <c r="F158" s="6">
        <v>-1200</v>
      </c>
      <c r="G158">
        <v>-932</v>
      </c>
      <c r="H158">
        <v>-936</v>
      </c>
      <c r="I158">
        <v>-963</v>
      </c>
      <c r="J158" s="6">
        <v>-1134</v>
      </c>
      <c r="K158" s="6">
        <v>-1398</v>
      </c>
      <c r="L158">
        <v>-271</v>
      </c>
      <c r="M158" s="6">
        <v>-1037</v>
      </c>
      <c r="N158" s="6">
        <v>-1522</v>
      </c>
      <c r="O158" s="6">
        <v>-2247</v>
      </c>
      <c r="P158" s="6">
        <v>-2806</v>
      </c>
    </row>
    <row r="159" spans="4:16" ht="14.25" customHeight="1" x14ac:dyDescent="0.3">
      <c r="D159" t="s">
        <v>43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-558</v>
      </c>
      <c r="L159">
        <v>-553</v>
      </c>
      <c r="M159">
        <v>-583</v>
      </c>
      <c r="N159">
        <v>-751</v>
      </c>
      <c r="O159">
        <v>-786</v>
      </c>
      <c r="P159">
        <v>-887</v>
      </c>
    </row>
    <row r="160" spans="4:16" ht="14.25" customHeight="1" x14ac:dyDescent="0.3">
      <c r="D160" t="s">
        <v>44</v>
      </c>
      <c r="E160" s="6">
        <v>7242</v>
      </c>
      <c r="F160" s="6">
        <v>3355</v>
      </c>
      <c r="G160" s="6">
        <v>4324</v>
      </c>
      <c r="H160" s="6">
        <v>7503</v>
      </c>
      <c r="I160" s="6">
        <v>7794</v>
      </c>
      <c r="J160">
        <v>12</v>
      </c>
      <c r="K160">
        <v>-304</v>
      </c>
      <c r="L160" s="6">
        <v>1444</v>
      </c>
      <c r="M160">
        <v>-240</v>
      </c>
      <c r="N160">
        <v>386</v>
      </c>
      <c r="O160" s="6">
        <v>1408</v>
      </c>
      <c r="P160" s="6">
        <v>2062</v>
      </c>
    </row>
    <row r="161" spans="4:16" ht="14.25" customHeight="1" x14ac:dyDescent="0.3">
      <c r="D161" t="s">
        <v>45</v>
      </c>
      <c r="E161">
        <v>810</v>
      </c>
      <c r="F161" s="6">
        <v>-1633</v>
      </c>
      <c r="G161">
        <v>-154</v>
      </c>
      <c r="H161">
        <v>416</v>
      </c>
      <c r="I161" s="6">
        <v>1529</v>
      </c>
      <c r="J161" s="6">
        <v>1672</v>
      </c>
      <c r="K161" s="6">
        <v>-1394</v>
      </c>
      <c r="L161" s="6">
        <v>-1370</v>
      </c>
      <c r="M161">
        <v>113</v>
      </c>
      <c r="N161">
        <v>6</v>
      </c>
      <c r="O161" s="6">
        <v>1037</v>
      </c>
      <c r="P161">
        <v>394</v>
      </c>
    </row>
    <row r="162" spans="4:16" ht="14.25" customHeight="1" x14ac:dyDescent="0.3">
      <c r="D162" t="s">
        <v>97</v>
      </c>
      <c r="E162" s="6">
        <v>-3851</v>
      </c>
      <c r="F162" s="6">
        <v>-3661</v>
      </c>
      <c r="G162" s="6">
        <v>-1729</v>
      </c>
      <c r="H162" s="6">
        <v>-4780</v>
      </c>
      <c r="I162" s="6">
        <v>-5109</v>
      </c>
      <c r="J162" s="6">
        <v>-11546</v>
      </c>
      <c r="K162" s="6">
        <v>-8251</v>
      </c>
      <c r="L162" s="6">
        <v>13283</v>
      </c>
      <c r="M162" s="6">
        <v>3328</v>
      </c>
      <c r="N162" s="6">
        <v>-13241</v>
      </c>
      <c r="O162" s="6">
        <v>-15303</v>
      </c>
      <c r="P162" s="6">
        <v>-6633</v>
      </c>
    </row>
    <row r="163" spans="4:16" ht="14.25" customHeight="1" x14ac:dyDescent="0.3">
      <c r="D163" t="s">
        <v>98</v>
      </c>
      <c r="E163" s="53">
        <v>0.1</v>
      </c>
      <c r="F163" s="53">
        <v>0.31</v>
      </c>
      <c r="G163" s="53">
        <v>0.43</v>
      </c>
      <c r="H163" s="53">
        <v>0.2</v>
      </c>
      <c r="I163" s="53">
        <v>0.25</v>
      </c>
      <c r="J163" s="53">
        <v>-0.09</v>
      </c>
      <c r="K163" s="53">
        <v>0.08</v>
      </c>
      <c r="L163" s="53">
        <v>1.72</v>
      </c>
      <c r="M163" s="53">
        <v>0.74</v>
      </c>
      <c r="N163" s="53">
        <v>-0.21</v>
      </c>
      <c r="O163" s="53">
        <v>-7.0000000000000007E-2</v>
      </c>
      <c r="P163" s="53">
        <v>0.26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94"/>
  <sheetViews>
    <sheetView tabSelected="1" zoomScaleNormal="100" workbookViewId="0">
      <pane ySplit="1" topLeftCell="A26" activePane="bottomLeft" state="frozen"/>
      <selection pane="bottomLeft" activeCell="B15" sqref="B15"/>
    </sheetView>
  </sheetViews>
  <sheetFormatPr defaultColWidth="10.44140625" defaultRowHeight="13.2" x14ac:dyDescent="0.25"/>
  <cols>
    <col min="1" max="1" width="56" style="3" customWidth="1"/>
    <col min="2" max="2" width="9.21875" style="3" customWidth="1"/>
    <col min="3" max="3" width="12.88671875" style="3" customWidth="1"/>
    <col min="4" max="4" width="15.6640625" style="3" customWidth="1"/>
    <col min="5" max="5" width="19.5546875" style="3" customWidth="1"/>
    <col min="6" max="6" width="12.33203125" style="3" customWidth="1"/>
    <col min="7" max="8" width="12.88671875" style="3" customWidth="1"/>
    <col min="9" max="9" width="12.6640625" style="3" customWidth="1"/>
    <col min="10" max="10" width="12.21875" style="3" customWidth="1"/>
    <col min="11" max="11" width="12.77734375" style="3" customWidth="1"/>
    <col min="12" max="13" width="10.44140625" style="3"/>
    <col min="14" max="14" width="11.77734375" style="3" customWidth="1"/>
    <col min="15" max="16384" width="10.44140625" style="3"/>
  </cols>
  <sheetData>
    <row r="1" spans="1:11" s="4" customFormat="1" ht="12.75" customHeight="1" x14ac:dyDescent="0.25">
      <c r="A1" s="4" t="s">
        <v>129</v>
      </c>
      <c r="B1" s="4" t="s">
        <v>130</v>
      </c>
      <c r="E1" s="81" t="str">
        <f>IF(B2&lt;&gt;B3, "A NEW VERSION OF THE WORKSHEET IS AVAILABLE", "")</f>
        <v/>
      </c>
      <c r="F1" s="81"/>
      <c r="G1" s="81"/>
      <c r="H1" s="81"/>
      <c r="I1" s="81"/>
      <c r="J1" s="81"/>
      <c r="K1" s="81"/>
    </row>
    <row r="2" spans="1:11" ht="12.75" customHeight="1" x14ac:dyDescent="0.25">
      <c r="A2" s="4" t="s">
        <v>131</v>
      </c>
      <c r="B2" s="3">
        <v>2.1</v>
      </c>
      <c r="E2" s="82" t="s">
        <v>132</v>
      </c>
      <c r="F2" s="82"/>
      <c r="G2" s="82"/>
      <c r="H2" s="82"/>
      <c r="I2" s="82"/>
      <c r="J2" s="82"/>
      <c r="K2" s="82"/>
    </row>
    <row r="3" spans="1:11" ht="12.75" customHeight="1" x14ac:dyDescent="0.25">
      <c r="A3" s="4" t="s">
        <v>133</v>
      </c>
      <c r="B3" s="3">
        <v>2.1</v>
      </c>
    </row>
    <row r="4" spans="1:11" ht="12.75" customHeight="1" x14ac:dyDescent="0.25">
      <c r="A4" s="4"/>
    </row>
    <row r="5" spans="1:11" ht="12.75" customHeight="1" x14ac:dyDescent="0.25">
      <c r="A5" s="4" t="s">
        <v>134</v>
      </c>
    </row>
    <row r="6" spans="1:11" ht="12.75" customHeight="1" x14ac:dyDescent="0.25">
      <c r="A6" s="3" t="s">
        <v>135</v>
      </c>
      <c r="B6" s="3">
        <f>IF(B9&gt;0, B9/B8, 0)</f>
        <v>124.35288215488215</v>
      </c>
    </row>
    <row r="7" spans="1:11" ht="12.75" customHeight="1" x14ac:dyDescent="0.25">
      <c r="A7" s="3" t="s">
        <v>136</v>
      </c>
      <c r="B7" s="72">
        <v>5</v>
      </c>
    </row>
    <row r="8" spans="1:11" ht="12.75" customHeight="1" x14ac:dyDescent="0.25">
      <c r="A8" s="3" t="s">
        <v>137</v>
      </c>
      <c r="B8" s="72">
        <v>2970</v>
      </c>
    </row>
    <row r="9" spans="1:11" ht="12.75" customHeight="1" x14ac:dyDescent="0.25">
      <c r="A9" s="3" t="s">
        <v>47</v>
      </c>
      <c r="B9" s="72">
        <v>369328.06</v>
      </c>
    </row>
    <row r="15" spans="1:11" ht="12.75" customHeight="1" x14ac:dyDescent="0.25">
      <c r="A15" s="4" t="s">
        <v>138</v>
      </c>
      <c r="B15" s="3">
        <f>B26+B34</f>
        <v>13516.849999999999</v>
      </c>
      <c r="K15" s="3">
        <f>K17-K18-K20-K21-K22-K23-K19</f>
        <v>36511.540000000015</v>
      </c>
    </row>
    <row r="16" spans="1:11" s="75" customFormat="1" ht="12.75" customHeight="1" x14ac:dyDescent="0.25">
      <c r="A16" s="73" t="s">
        <v>139</v>
      </c>
      <c r="B16" s="74">
        <v>42460</v>
      </c>
      <c r="C16" s="74">
        <v>42825</v>
      </c>
      <c r="D16" s="74">
        <v>43190</v>
      </c>
      <c r="E16" s="74">
        <v>43555</v>
      </c>
      <c r="F16" s="74">
        <v>43921</v>
      </c>
      <c r="G16" s="74">
        <v>44286</v>
      </c>
      <c r="H16" s="74">
        <v>44651</v>
      </c>
      <c r="I16" s="74">
        <v>45016</v>
      </c>
      <c r="J16" s="74">
        <v>45382</v>
      </c>
      <c r="K16" s="74">
        <v>45747</v>
      </c>
    </row>
    <row r="17" spans="1:11" ht="12.75" customHeight="1" x14ac:dyDescent="0.25">
      <c r="A17" s="3" t="s">
        <v>140</v>
      </c>
      <c r="B17" s="72">
        <v>75841.42</v>
      </c>
      <c r="C17" s="72">
        <v>83773.05</v>
      </c>
      <c r="D17" s="72">
        <v>92093.95</v>
      </c>
      <c r="E17" s="72">
        <v>104720.68</v>
      </c>
      <c r="F17" s="72">
        <v>75381.929999999993</v>
      </c>
      <c r="G17" s="72">
        <v>74277.78</v>
      </c>
      <c r="H17" s="72">
        <v>90170.57</v>
      </c>
      <c r="I17" s="72">
        <v>121268.55</v>
      </c>
      <c r="J17" s="72">
        <v>139078.26999999999</v>
      </c>
      <c r="K17" s="72">
        <v>159210.82</v>
      </c>
    </row>
    <row r="18" spans="1:11" ht="14.25" customHeight="1" x14ac:dyDescent="0.3">
      <c r="A18" s="3" t="s">
        <v>141</v>
      </c>
      <c r="B18" s="76">
        <v>45584.35</v>
      </c>
      <c r="C18" s="76">
        <v>50655.199999999997</v>
      </c>
      <c r="D18" s="76">
        <v>53457.29</v>
      </c>
      <c r="E18" s="76">
        <v>61881.19</v>
      </c>
      <c r="F18" s="76">
        <v>37595.300000000003</v>
      </c>
      <c r="G18" s="76">
        <v>38271.199999999997</v>
      </c>
      <c r="H18" s="76">
        <v>52664.85</v>
      </c>
      <c r="I18" s="76">
        <v>76019.87</v>
      </c>
      <c r="J18" s="76">
        <v>85070.07</v>
      </c>
      <c r="K18" s="76">
        <v>95754.9</v>
      </c>
    </row>
    <row r="19" spans="1:11" ht="14.25" customHeight="1" x14ac:dyDescent="0.3">
      <c r="A19" s="3" t="s">
        <v>142</v>
      </c>
      <c r="B19" s="76">
        <v>458.51</v>
      </c>
      <c r="C19" s="76">
        <v>13.83</v>
      </c>
      <c r="D19" s="76">
        <v>-83.33</v>
      </c>
      <c r="E19" s="76">
        <v>1730.48</v>
      </c>
      <c r="F19" s="76">
        <v>-826.62</v>
      </c>
      <c r="G19" s="76">
        <v>-135.59</v>
      </c>
      <c r="H19" s="76">
        <v>861.66</v>
      </c>
      <c r="I19" s="76">
        <v>2032.31</v>
      </c>
      <c r="J19" s="76">
        <v>1455.32</v>
      </c>
      <c r="K19" s="76">
        <v>12.18</v>
      </c>
    </row>
    <row r="20" spans="1:11" ht="12.75" customHeight="1" x14ac:dyDescent="0.25">
      <c r="A20" s="3" t="s">
        <v>143</v>
      </c>
      <c r="B20" s="72">
        <v>639.97</v>
      </c>
      <c r="C20" s="72">
        <v>657.06</v>
      </c>
      <c r="D20" s="72">
        <v>733.9</v>
      </c>
      <c r="E20" s="72">
        <v>817.11</v>
      </c>
      <c r="F20" s="72">
        <v>530.91999999999996</v>
      </c>
      <c r="G20" s="72">
        <v>429.56</v>
      </c>
      <c r="H20" s="72">
        <v>541.27</v>
      </c>
      <c r="I20" s="72">
        <v>830.48</v>
      </c>
      <c r="J20" s="72">
        <v>752.73</v>
      </c>
      <c r="K20" s="72">
        <v>832.35</v>
      </c>
    </row>
    <row r="21" spans="1:11" ht="12.75" customHeight="1" x14ac:dyDescent="0.25">
      <c r="A21" s="3" t="s">
        <v>144</v>
      </c>
      <c r="B21" s="72">
        <v>2618.6999999999998</v>
      </c>
      <c r="C21" s="72">
        <v>3255.3</v>
      </c>
      <c r="D21" s="72">
        <v>3590.26</v>
      </c>
      <c r="E21" s="72">
        <v>4253</v>
      </c>
      <c r="F21" s="72">
        <v>3277.79</v>
      </c>
      <c r="G21" s="72">
        <v>2523.4</v>
      </c>
      <c r="H21" s="72">
        <v>3124.27</v>
      </c>
      <c r="I21" s="72">
        <v>3838.42</v>
      </c>
      <c r="J21" s="72">
        <v>3791.75</v>
      </c>
      <c r="K21" s="72">
        <v>4162.28</v>
      </c>
    </row>
    <row r="22" spans="1:11" ht="12.75" customHeight="1" x14ac:dyDescent="0.25">
      <c r="A22" s="3" t="s">
        <v>145</v>
      </c>
      <c r="B22" s="72">
        <v>7689.4</v>
      </c>
      <c r="C22" s="72">
        <v>8910.6299999999992</v>
      </c>
      <c r="D22" s="72">
        <v>10004.620000000001</v>
      </c>
      <c r="E22" s="72">
        <v>11242.08</v>
      </c>
      <c r="F22" s="72">
        <v>8214.82</v>
      </c>
      <c r="G22" s="72">
        <v>7813.26</v>
      </c>
      <c r="H22" s="72">
        <v>8386.74</v>
      </c>
      <c r="I22" s="72">
        <v>9677.9500000000007</v>
      </c>
      <c r="J22" s="72">
        <v>10624.33</v>
      </c>
      <c r="K22" s="72">
        <v>11126.17</v>
      </c>
    </row>
    <row r="23" spans="1:11" ht="12.75" customHeight="1" x14ac:dyDescent="0.25">
      <c r="A23" s="3" t="s">
        <v>146</v>
      </c>
      <c r="B23" s="72">
        <v>5758.86</v>
      </c>
      <c r="C23" s="72">
        <v>6253.64</v>
      </c>
      <c r="D23" s="72">
        <v>7591.15</v>
      </c>
      <c r="E23" s="72">
        <v>9658.98</v>
      </c>
      <c r="F23" s="72">
        <v>6316.52</v>
      </c>
      <c r="G23" s="72">
        <v>4628.75</v>
      </c>
      <c r="H23" s="72">
        <v>5977.67</v>
      </c>
      <c r="I23" s="72">
        <v>7681.87</v>
      </c>
      <c r="J23" s="72">
        <v>9832.2000000000007</v>
      </c>
      <c r="K23" s="72">
        <v>10811.4</v>
      </c>
    </row>
    <row r="24" spans="1:11" ht="12.75" customHeight="1" x14ac:dyDescent="0.25">
      <c r="A24" s="3" t="s">
        <v>147</v>
      </c>
      <c r="B24" s="72">
        <v>3926.21</v>
      </c>
      <c r="C24" s="72">
        <v>3320.22</v>
      </c>
      <c r="D24" s="72">
        <v>3407.3</v>
      </c>
      <c r="E24" s="72">
        <v>3392.29</v>
      </c>
      <c r="F24" s="72">
        <v>8462.2099999999991</v>
      </c>
      <c r="G24" s="72">
        <v>8989</v>
      </c>
      <c r="H24" s="72">
        <v>5654.58</v>
      </c>
      <c r="I24" s="72">
        <v>4966.9799999999996</v>
      </c>
      <c r="J24" s="72">
        <v>5570.58</v>
      </c>
      <c r="K24" s="72">
        <v>6017.71</v>
      </c>
    </row>
    <row r="25" spans="1:11" ht="12.75" customHeight="1" x14ac:dyDescent="0.25">
      <c r="A25" s="3" t="s">
        <v>5</v>
      </c>
      <c r="B25" s="72">
        <v>1398.83</v>
      </c>
      <c r="C25" s="72">
        <v>2076.61</v>
      </c>
      <c r="D25" s="72">
        <v>4366.41</v>
      </c>
      <c r="E25" s="72">
        <v>2676.45</v>
      </c>
      <c r="F25" s="72">
        <v>884.69</v>
      </c>
      <c r="G25" s="72">
        <v>1151.51</v>
      </c>
      <c r="H25" s="72">
        <v>3204.47</v>
      </c>
      <c r="I25" s="72">
        <v>3961.45</v>
      </c>
      <c r="J25" s="72">
        <v>3297.85</v>
      </c>
      <c r="K25" s="72">
        <v>3718.47</v>
      </c>
    </row>
    <row r="26" spans="1:11" ht="12.75" customHeight="1" x14ac:dyDescent="0.25">
      <c r="A26" s="3" t="s">
        <v>4</v>
      </c>
      <c r="B26" s="72">
        <v>2441.65</v>
      </c>
      <c r="C26" s="72">
        <v>2812.72</v>
      </c>
      <c r="D26" s="72">
        <v>3279.9</v>
      </c>
      <c r="E26" s="72">
        <v>3990.77</v>
      </c>
      <c r="F26" s="72">
        <v>3366.68</v>
      </c>
      <c r="G26" s="72">
        <v>3378.11</v>
      </c>
      <c r="H26" s="72">
        <v>3507.5</v>
      </c>
      <c r="I26" s="72">
        <v>4356.8100000000004</v>
      </c>
      <c r="J26" s="72">
        <v>4723.78</v>
      </c>
      <c r="K26" s="72">
        <v>6073.65</v>
      </c>
    </row>
    <row r="27" spans="1:11" ht="14.25" customHeight="1" x14ac:dyDescent="0.3">
      <c r="A27" s="3" t="s">
        <v>3</v>
      </c>
      <c r="B27" s="72">
        <v>3367.59</v>
      </c>
      <c r="C27" s="72">
        <v>3648.46</v>
      </c>
      <c r="D27" s="72">
        <v>3987.09</v>
      </c>
      <c r="E27" s="72">
        <v>5021.3500000000004</v>
      </c>
      <c r="F27" s="72">
        <v>6021.15</v>
      </c>
      <c r="G27" s="72">
        <v>6102.22</v>
      </c>
      <c r="H27" s="72">
        <v>5018.05</v>
      </c>
      <c r="I27" s="72">
        <v>5829.7</v>
      </c>
      <c r="J27" s="76">
        <v>7488.21</v>
      </c>
      <c r="K27" s="76">
        <v>9083.39</v>
      </c>
    </row>
    <row r="28" spans="1:11" ht="12.75" customHeight="1" x14ac:dyDescent="0.25">
      <c r="A28" s="3" t="s">
        <v>148</v>
      </c>
      <c r="B28" s="72">
        <v>5672.03</v>
      </c>
      <c r="C28" s="72">
        <v>6350.26</v>
      </c>
      <c r="D28" s="72">
        <v>10325.52</v>
      </c>
      <c r="E28" s="72">
        <v>8870.84</v>
      </c>
      <c r="F28" s="72">
        <v>1654.61</v>
      </c>
      <c r="G28" s="72">
        <v>3158.2</v>
      </c>
      <c r="H28" s="72">
        <v>9361.77</v>
      </c>
      <c r="I28" s="72">
        <v>14060.23</v>
      </c>
      <c r="J28" s="72">
        <v>15977.79</v>
      </c>
      <c r="K28" s="72">
        <v>19079.62</v>
      </c>
    </row>
    <row r="29" spans="1:11" ht="12.75" customHeight="1" x14ac:dyDescent="0.25">
      <c r="A29" s="3" t="s">
        <v>6</v>
      </c>
      <c r="B29" s="72">
        <v>2117.5300000000002</v>
      </c>
      <c r="C29" s="72">
        <v>2299.73</v>
      </c>
      <c r="D29" s="72">
        <v>2367.73</v>
      </c>
      <c r="E29" s="72">
        <v>2853.99</v>
      </c>
      <c r="F29" s="72">
        <v>1975.61</v>
      </c>
      <c r="G29" s="72">
        <v>1645.81</v>
      </c>
      <c r="H29" s="72">
        <v>2108.7600000000002</v>
      </c>
      <c r="I29" s="72">
        <v>2685.75</v>
      </c>
      <c r="J29" s="72">
        <v>3707.97</v>
      </c>
      <c r="K29" s="72">
        <v>5006.45</v>
      </c>
    </row>
    <row r="30" spans="1:11" ht="12.75" customHeight="1" x14ac:dyDescent="0.25">
      <c r="A30" s="3" t="s">
        <v>149</v>
      </c>
      <c r="B30" s="72">
        <v>3148.43</v>
      </c>
      <c r="C30" s="72">
        <v>3698.04</v>
      </c>
      <c r="D30" s="72">
        <v>7510.39</v>
      </c>
      <c r="E30" s="72">
        <v>5315.46</v>
      </c>
      <c r="F30" s="72">
        <v>127.04</v>
      </c>
      <c r="G30" s="72">
        <v>1812.49</v>
      </c>
      <c r="H30" s="72">
        <v>6577.32</v>
      </c>
      <c r="I30" s="72">
        <v>10281.5</v>
      </c>
      <c r="J30" s="72">
        <v>11268.64</v>
      </c>
      <c r="K30" s="72">
        <v>12929.1</v>
      </c>
    </row>
    <row r="31" spans="1:11" ht="12.75" customHeight="1" x14ac:dyDescent="0.25">
      <c r="A31" s="3" t="s">
        <v>150</v>
      </c>
      <c r="B31" s="72">
        <v>648.96</v>
      </c>
      <c r="C31" s="72">
        <v>807.43</v>
      </c>
      <c r="D31" s="72">
        <v>814.7</v>
      </c>
      <c r="E31" s="72">
        <v>924.73</v>
      </c>
      <c r="F31" s="72">
        <v>260.51</v>
      </c>
      <c r="G31" s="72">
        <v>971.51</v>
      </c>
      <c r="H31" s="72">
        <v>1284.5</v>
      </c>
      <c r="I31" s="72">
        <v>1809.66</v>
      </c>
      <c r="J31" s="72">
        <v>2352.14</v>
      </c>
      <c r="K31" s="72">
        <v>2824.24</v>
      </c>
    </row>
    <row r="32" spans="1:11" ht="12.75" customHeight="1" x14ac:dyDescent="0.25">
      <c r="A32" s="3" t="s">
        <v>7</v>
      </c>
      <c r="B32" s="77">
        <f t="shared" ref="B32:K32" si="0">B29/B28</f>
        <v>0.37332842033628177</v>
      </c>
      <c r="C32" s="77">
        <f t="shared" si="0"/>
        <v>0.36214737664284613</v>
      </c>
      <c r="D32" s="77">
        <f t="shared" si="0"/>
        <v>0.22930854814091686</v>
      </c>
      <c r="E32" s="77">
        <f t="shared" si="0"/>
        <v>0.32172714196175334</v>
      </c>
      <c r="F32" s="77">
        <f t="shared" si="0"/>
        <v>1.1940034207456742</v>
      </c>
      <c r="G32" s="77">
        <f t="shared" si="0"/>
        <v>0.52112279146349183</v>
      </c>
      <c r="H32" s="77">
        <f t="shared" si="0"/>
        <v>0.225252276011908</v>
      </c>
      <c r="I32" s="77">
        <f t="shared" si="0"/>
        <v>0.1910175011361834</v>
      </c>
      <c r="J32" s="77">
        <f t="shared" si="0"/>
        <v>0.2320702675401291</v>
      </c>
      <c r="K32" s="77">
        <f t="shared" si="0"/>
        <v>0.26239778360365668</v>
      </c>
    </row>
    <row r="34" spans="1:11" ht="12.75" customHeight="1" x14ac:dyDescent="0.25">
      <c r="A34" s="3" t="s">
        <v>2</v>
      </c>
      <c r="B34" s="3">
        <f t="shared" ref="B34:K34" si="1">+B30+B29+B27+B26</f>
        <v>11075.199999999999</v>
      </c>
      <c r="C34" s="3">
        <f t="shared" si="1"/>
        <v>12458.949999999999</v>
      </c>
      <c r="D34" s="3">
        <f t="shared" si="1"/>
        <v>17145.11</v>
      </c>
      <c r="E34" s="3">
        <f t="shared" si="1"/>
        <v>17181.57</v>
      </c>
      <c r="F34" s="3">
        <f t="shared" si="1"/>
        <v>11490.48</v>
      </c>
      <c r="G34" s="3">
        <f t="shared" si="1"/>
        <v>12938.630000000001</v>
      </c>
      <c r="H34" s="3">
        <f t="shared" si="1"/>
        <v>17211.63</v>
      </c>
      <c r="I34" s="3">
        <f t="shared" si="1"/>
        <v>23153.760000000002</v>
      </c>
      <c r="J34" s="3">
        <f t="shared" si="1"/>
        <v>27188.6</v>
      </c>
      <c r="K34" s="3">
        <f t="shared" si="1"/>
        <v>33092.589999999997</v>
      </c>
    </row>
    <row r="40" spans="1:11" ht="12.75" customHeight="1" x14ac:dyDescent="0.25">
      <c r="A40" s="4" t="s">
        <v>151</v>
      </c>
    </row>
    <row r="41" spans="1:11" s="75" customFormat="1" ht="12.75" customHeight="1" x14ac:dyDescent="0.25">
      <c r="A41" s="73" t="s">
        <v>139</v>
      </c>
      <c r="B41" s="74">
        <v>45199</v>
      </c>
      <c r="C41" s="74">
        <v>45291</v>
      </c>
      <c r="D41" s="74">
        <v>45382</v>
      </c>
      <c r="E41" s="74">
        <v>45473</v>
      </c>
      <c r="F41" s="74">
        <v>45565</v>
      </c>
      <c r="G41" s="74">
        <v>45657</v>
      </c>
      <c r="H41" s="74">
        <v>45747</v>
      </c>
      <c r="I41" s="74">
        <v>45838</v>
      </c>
      <c r="J41" s="74">
        <v>45930</v>
      </c>
      <c r="K41" s="74">
        <v>46022</v>
      </c>
    </row>
    <row r="42" spans="1:11" ht="12.75" customHeight="1" x14ac:dyDescent="0.25">
      <c r="A42" s="3" t="s">
        <v>140</v>
      </c>
      <c r="B42" s="72">
        <v>34435.519999999997</v>
      </c>
      <c r="C42" s="72">
        <v>35299.39</v>
      </c>
      <c r="D42" s="72">
        <v>35451.730000000003</v>
      </c>
      <c r="E42" s="72">
        <v>37217.72</v>
      </c>
      <c r="F42" s="72">
        <v>37923.74</v>
      </c>
      <c r="G42" s="72">
        <v>41470.050000000003</v>
      </c>
      <c r="H42" s="72">
        <v>42599.31</v>
      </c>
      <c r="I42" s="72">
        <v>45529.19</v>
      </c>
      <c r="J42" s="72">
        <v>46105.67</v>
      </c>
      <c r="K42" s="72">
        <v>52099.75</v>
      </c>
    </row>
    <row r="43" spans="1:11" ht="12.75" customHeight="1" x14ac:dyDescent="0.25">
      <c r="A43" s="3" t="s">
        <v>152</v>
      </c>
      <c r="B43" s="72">
        <v>28705.94</v>
      </c>
      <c r="C43" s="72">
        <v>29075.41</v>
      </c>
      <c r="D43" s="72">
        <v>28847.82</v>
      </c>
      <c r="E43" s="72">
        <v>29974.6</v>
      </c>
      <c r="F43" s="72">
        <v>30790.34</v>
      </c>
      <c r="G43" s="72">
        <v>33239.32</v>
      </c>
      <c r="H43" s="72">
        <v>34688.370000000003</v>
      </c>
      <c r="I43" s="72">
        <v>37301.39</v>
      </c>
      <c r="J43" s="72">
        <v>37165.760000000002</v>
      </c>
      <c r="K43" s="72">
        <v>41939.370000000003</v>
      </c>
    </row>
    <row r="44" spans="1:11" ht="12.75" customHeight="1" x14ac:dyDescent="0.25">
      <c r="A44" s="3" t="s">
        <v>5</v>
      </c>
      <c r="B44" s="72">
        <v>811.95</v>
      </c>
      <c r="C44" s="72">
        <v>755.69</v>
      </c>
      <c r="D44" s="72">
        <v>750.44</v>
      </c>
      <c r="E44" s="72">
        <v>733.21</v>
      </c>
      <c r="F44" s="72">
        <v>1125.57</v>
      </c>
      <c r="G44" s="72">
        <v>718.59</v>
      </c>
      <c r="H44" s="72">
        <v>1141.0999999999999</v>
      </c>
      <c r="I44" s="72">
        <v>1395.06</v>
      </c>
      <c r="J44" s="72">
        <v>1133.94</v>
      </c>
      <c r="K44" s="72">
        <v>976.43</v>
      </c>
    </row>
    <row r="45" spans="1:11" ht="12.75" customHeight="1" x14ac:dyDescent="0.25">
      <c r="A45" s="3" t="s">
        <v>4</v>
      </c>
      <c r="B45" s="72">
        <v>1138.6400000000001</v>
      </c>
      <c r="C45" s="72">
        <v>1122.5899999999999</v>
      </c>
      <c r="D45" s="72">
        <v>1335.05</v>
      </c>
      <c r="E45" s="72">
        <v>1247.77</v>
      </c>
      <c r="F45" s="72">
        <v>1301.99</v>
      </c>
      <c r="G45" s="72">
        <v>1495.17</v>
      </c>
      <c r="H45" s="72">
        <v>2028.72</v>
      </c>
      <c r="I45" s="72">
        <v>1547.56</v>
      </c>
      <c r="J45" s="72">
        <v>1668.89</v>
      </c>
      <c r="K45" s="72">
        <v>2162.89</v>
      </c>
    </row>
    <row r="46" spans="1:11" ht="14.25" customHeight="1" x14ac:dyDescent="0.3">
      <c r="A46" s="3" t="s">
        <v>3</v>
      </c>
      <c r="B46" s="76">
        <v>1835.19</v>
      </c>
      <c r="C46" s="76">
        <v>1944.88</v>
      </c>
      <c r="D46" s="76">
        <v>1989.3</v>
      </c>
      <c r="E46" s="76">
        <v>2107.69</v>
      </c>
      <c r="F46" s="76">
        <v>2217.02</v>
      </c>
      <c r="G46" s="76">
        <v>2362.16</v>
      </c>
      <c r="H46" s="76">
        <v>2396.52</v>
      </c>
      <c r="I46" s="76">
        <v>2431.19</v>
      </c>
      <c r="J46" s="76">
        <v>2347.0300000000002</v>
      </c>
      <c r="K46" s="76">
        <v>2405.3000000000002</v>
      </c>
    </row>
    <row r="47" spans="1:11" ht="12.75" customHeight="1" x14ac:dyDescent="0.25">
      <c r="A47" s="3" t="s">
        <v>148</v>
      </c>
      <c r="B47" s="72">
        <v>3567.7</v>
      </c>
      <c r="C47" s="72">
        <v>3912.2</v>
      </c>
      <c r="D47" s="72">
        <v>4030</v>
      </c>
      <c r="E47" s="72">
        <v>4620.87</v>
      </c>
      <c r="F47" s="72">
        <v>4739.96</v>
      </c>
      <c r="G47" s="72">
        <v>5091.99</v>
      </c>
      <c r="H47" s="72">
        <v>4626.8</v>
      </c>
      <c r="I47" s="72">
        <v>5644.11</v>
      </c>
      <c r="J47" s="72">
        <v>6057.93</v>
      </c>
      <c r="K47" s="72">
        <v>6568.62</v>
      </c>
    </row>
    <row r="48" spans="1:11" ht="12.75" customHeight="1" x14ac:dyDescent="0.25">
      <c r="A48" s="3" t="s">
        <v>6</v>
      </c>
      <c r="B48" s="72">
        <v>1083.73</v>
      </c>
      <c r="C48" s="72">
        <v>935.16</v>
      </c>
      <c r="D48" s="72">
        <v>905.06</v>
      </c>
      <c r="E48" s="72">
        <v>1075.0899999999999</v>
      </c>
      <c r="F48" s="72">
        <v>1378.9</v>
      </c>
      <c r="G48" s="72">
        <v>1467.51</v>
      </c>
      <c r="H48" s="72">
        <v>1084.95</v>
      </c>
      <c r="I48" s="72">
        <v>1267.53</v>
      </c>
      <c r="J48" s="72">
        <v>2094.1799999999998</v>
      </c>
      <c r="K48" s="72">
        <v>1547.15</v>
      </c>
    </row>
    <row r="49" spans="1:11" ht="12.75" customHeight="1" x14ac:dyDescent="0.25">
      <c r="A49" s="3" t="s">
        <v>149</v>
      </c>
      <c r="B49" s="72">
        <v>2347.75</v>
      </c>
      <c r="C49" s="72">
        <v>2658.4</v>
      </c>
      <c r="D49" s="72">
        <v>2754.08</v>
      </c>
      <c r="E49" s="72">
        <v>3282.63</v>
      </c>
      <c r="F49" s="72">
        <v>3170.72</v>
      </c>
      <c r="G49" s="72">
        <v>3180.58</v>
      </c>
      <c r="H49" s="72">
        <v>3295.17</v>
      </c>
      <c r="I49" s="72">
        <v>4083.32</v>
      </c>
      <c r="J49" s="72">
        <v>3673.32</v>
      </c>
      <c r="K49" s="72">
        <v>4674.6400000000003</v>
      </c>
    </row>
    <row r="50" spans="1:11" ht="12.75" customHeight="1" x14ac:dyDescent="0.25">
      <c r="A50" s="3" t="s">
        <v>153</v>
      </c>
      <c r="B50" s="72">
        <v>5729.58</v>
      </c>
      <c r="C50" s="72">
        <v>6223.98</v>
      </c>
      <c r="D50" s="72">
        <v>6603.91</v>
      </c>
      <c r="E50" s="72">
        <v>7243.12</v>
      </c>
      <c r="F50" s="72">
        <v>7133.4</v>
      </c>
      <c r="G50" s="72">
        <v>8230.73</v>
      </c>
      <c r="H50" s="72">
        <v>7910.94</v>
      </c>
      <c r="I50" s="72">
        <v>8227.7999999999993</v>
      </c>
      <c r="J50" s="72">
        <v>8939.91</v>
      </c>
      <c r="K50" s="72">
        <v>10160.379999999999</v>
      </c>
    </row>
    <row r="51" spans="1:11" ht="12.75" customHeight="1" x14ac:dyDescent="0.25">
      <c r="A51" s="3" t="s">
        <v>2</v>
      </c>
      <c r="B51" s="3">
        <f t="shared" ref="B51:K51" si="2">B49+B48+B46+B45</f>
        <v>6405.31</v>
      </c>
      <c r="C51" s="3">
        <f t="shared" si="2"/>
        <v>6661.0300000000007</v>
      </c>
      <c r="D51" s="3">
        <f t="shared" si="2"/>
        <v>6983.49</v>
      </c>
      <c r="E51" s="3">
        <f t="shared" si="2"/>
        <v>7713.18</v>
      </c>
      <c r="F51" s="3">
        <f t="shared" si="2"/>
        <v>8068.6299999999992</v>
      </c>
      <c r="G51" s="3">
        <f t="shared" si="2"/>
        <v>8505.42</v>
      </c>
      <c r="H51" s="3">
        <f t="shared" si="2"/>
        <v>8805.3599999999988</v>
      </c>
      <c r="I51" s="3">
        <f t="shared" si="2"/>
        <v>9329.6</v>
      </c>
      <c r="J51" s="3">
        <f t="shared" si="2"/>
        <v>9783.42</v>
      </c>
      <c r="K51" s="3">
        <f t="shared" si="2"/>
        <v>10789.98</v>
      </c>
    </row>
    <row r="55" spans="1:11" ht="12.75" customHeight="1" x14ac:dyDescent="0.25">
      <c r="A55" s="4" t="s">
        <v>154</v>
      </c>
    </row>
    <row r="56" spans="1:11" s="75" customFormat="1" ht="12.75" customHeight="1" x14ac:dyDescent="0.25">
      <c r="A56" s="73" t="s">
        <v>139</v>
      </c>
      <c r="B56" s="74">
        <v>42460</v>
      </c>
      <c r="C56" s="74">
        <v>42825</v>
      </c>
      <c r="D56" s="74">
        <v>43190</v>
      </c>
      <c r="E56" s="74">
        <v>43555</v>
      </c>
      <c r="F56" s="74">
        <v>43921</v>
      </c>
      <c r="G56" s="74">
        <v>44286</v>
      </c>
      <c r="H56" s="74">
        <v>44651</v>
      </c>
      <c r="I56" s="74">
        <v>45016</v>
      </c>
      <c r="J56" s="74">
        <v>45382</v>
      </c>
      <c r="K56" s="74">
        <v>45747</v>
      </c>
    </row>
    <row r="57" spans="1:11" ht="12.75" customHeight="1" x14ac:dyDescent="0.25">
      <c r="A57" s="3" t="s">
        <v>8</v>
      </c>
      <c r="B57" s="72">
        <v>270.39999999999998</v>
      </c>
      <c r="C57" s="72">
        <v>310.55</v>
      </c>
      <c r="D57" s="72">
        <v>543.13</v>
      </c>
      <c r="E57" s="72">
        <v>543.96</v>
      </c>
      <c r="F57" s="72">
        <v>554.28</v>
      </c>
      <c r="G57" s="72">
        <v>555.15</v>
      </c>
      <c r="H57" s="72">
        <v>556.05999999999995</v>
      </c>
      <c r="I57" s="72">
        <v>556.82000000000005</v>
      </c>
      <c r="J57" s="72">
        <v>557.38</v>
      </c>
      <c r="K57" s="72">
        <v>558.15</v>
      </c>
    </row>
    <row r="58" spans="1:11" ht="12.75" customHeight="1" x14ac:dyDescent="0.25">
      <c r="A58" s="3" t="s">
        <v>9</v>
      </c>
      <c r="B58" s="72">
        <v>26222.25</v>
      </c>
      <c r="C58" s="72">
        <v>29467.1</v>
      </c>
      <c r="D58" s="72">
        <v>36232.06</v>
      </c>
      <c r="E58" s="72">
        <v>39439.449999999997</v>
      </c>
      <c r="F58" s="72">
        <v>39415.03</v>
      </c>
      <c r="G58" s="72">
        <v>41026.769999999997</v>
      </c>
      <c r="H58" s="72">
        <v>46566.58</v>
      </c>
      <c r="I58" s="72">
        <v>55808.97</v>
      </c>
      <c r="J58" s="72">
        <v>65633.17</v>
      </c>
      <c r="K58" s="72">
        <v>76480.710000000006</v>
      </c>
    </row>
    <row r="59" spans="1:11" ht="14.25" customHeight="1" x14ac:dyDescent="0.3">
      <c r="A59" s="3" t="s">
        <v>10</v>
      </c>
      <c r="B59" s="76">
        <v>41552.93</v>
      </c>
      <c r="C59" s="76">
        <v>48761.91</v>
      </c>
      <c r="D59" s="76">
        <v>55897.919999999998</v>
      </c>
      <c r="E59" s="76">
        <v>70848.3</v>
      </c>
      <c r="F59" s="76">
        <v>82092.28</v>
      </c>
      <c r="G59" s="76">
        <v>80624.83</v>
      </c>
      <c r="H59" s="76">
        <v>77605.210000000006</v>
      </c>
      <c r="I59" s="76">
        <v>92246.85</v>
      </c>
      <c r="J59" s="76">
        <v>108647.25</v>
      </c>
      <c r="K59" s="76">
        <v>129024.58</v>
      </c>
    </row>
    <row r="60" spans="1:11" ht="12.75" customHeight="1" x14ac:dyDescent="0.25">
      <c r="A60" s="3" t="s">
        <v>11</v>
      </c>
      <c r="B60" s="72">
        <v>31806.240000000002</v>
      </c>
      <c r="C60" s="72">
        <v>35295.919999999998</v>
      </c>
      <c r="D60" s="72">
        <v>43696.2</v>
      </c>
      <c r="E60" s="72">
        <v>51056.95</v>
      </c>
      <c r="F60" s="72">
        <v>43654.54</v>
      </c>
      <c r="G60" s="72">
        <v>42761.58</v>
      </c>
      <c r="H60" s="72">
        <v>47660.639999999999</v>
      </c>
      <c r="I60" s="72">
        <v>55670.49</v>
      </c>
      <c r="J60" s="72">
        <v>59883.94</v>
      </c>
      <c r="K60" s="72">
        <v>69949.72</v>
      </c>
    </row>
    <row r="61" spans="1:11" s="4" customFormat="1" ht="12.75" customHeight="1" x14ac:dyDescent="0.25">
      <c r="A61" s="4" t="s">
        <v>155</v>
      </c>
      <c r="B61" s="72">
        <v>99851.82</v>
      </c>
      <c r="C61" s="72">
        <v>113835.48</v>
      </c>
      <c r="D61" s="72">
        <v>136369.31</v>
      </c>
      <c r="E61" s="72">
        <v>161888.66</v>
      </c>
      <c r="F61" s="72">
        <v>165716.13</v>
      </c>
      <c r="G61" s="72">
        <v>164968.32999999999</v>
      </c>
      <c r="H61" s="72">
        <v>172388.49</v>
      </c>
      <c r="I61" s="72">
        <v>204283.13</v>
      </c>
      <c r="J61" s="72">
        <v>234721.74</v>
      </c>
      <c r="K61" s="72">
        <v>276013.15999999997</v>
      </c>
    </row>
    <row r="62" spans="1:11" ht="12.75" customHeight="1" x14ac:dyDescent="0.25">
      <c r="A62" s="3" t="s">
        <v>121</v>
      </c>
      <c r="B62" s="72">
        <v>20584.71</v>
      </c>
      <c r="C62" s="72">
        <v>20989.01</v>
      </c>
      <c r="D62" s="72">
        <v>26181.9</v>
      </c>
      <c r="E62" s="72">
        <v>28982.74</v>
      </c>
      <c r="F62" s="72">
        <v>29689.27</v>
      </c>
      <c r="G62" s="72">
        <v>21379.68</v>
      </c>
      <c r="H62" s="72">
        <v>26018.49</v>
      </c>
      <c r="I62" s="72">
        <v>27139.98</v>
      </c>
      <c r="J62" s="72">
        <v>28129.41</v>
      </c>
      <c r="K62" s="72">
        <v>34636.36</v>
      </c>
    </row>
    <row r="63" spans="1:11" ht="12.75" customHeight="1" x14ac:dyDescent="0.25">
      <c r="A63" s="3" t="s">
        <v>13</v>
      </c>
      <c r="B63" s="72">
        <v>2371.35</v>
      </c>
      <c r="C63" s="72">
        <v>4278.9399999999996</v>
      </c>
      <c r="D63" s="72">
        <v>4269.47</v>
      </c>
      <c r="E63" s="72">
        <v>4759.84</v>
      </c>
      <c r="F63" s="72">
        <v>6856.48</v>
      </c>
      <c r="G63" s="72">
        <v>7872.61</v>
      </c>
      <c r="H63" s="72">
        <v>6702.81</v>
      </c>
      <c r="I63" s="72">
        <v>3968.58</v>
      </c>
      <c r="J63" s="72">
        <v>8039.3</v>
      </c>
      <c r="K63" s="72">
        <v>8297.64</v>
      </c>
    </row>
    <row r="64" spans="1:11" ht="14.25" customHeight="1" x14ac:dyDescent="0.3">
      <c r="A64" s="3" t="s">
        <v>14</v>
      </c>
      <c r="B64" s="72">
        <v>11602.58</v>
      </c>
      <c r="C64" s="76">
        <v>14662.44</v>
      </c>
      <c r="D64" s="72">
        <v>16017.61</v>
      </c>
      <c r="E64" s="72">
        <v>18268.099999999999</v>
      </c>
      <c r="F64" s="72">
        <v>19210.34</v>
      </c>
      <c r="G64" s="72">
        <v>28777.66</v>
      </c>
      <c r="H64" s="72">
        <v>30060.43</v>
      </c>
      <c r="I64" s="72">
        <v>35272.42</v>
      </c>
      <c r="J64" s="72">
        <v>35208.1</v>
      </c>
      <c r="K64" s="72">
        <v>41308.57</v>
      </c>
    </row>
    <row r="65" spans="1:11" ht="12.75" customHeight="1" x14ac:dyDescent="0.25">
      <c r="A65" s="3" t="s">
        <v>15</v>
      </c>
      <c r="B65" s="72">
        <v>65293.18</v>
      </c>
      <c r="C65" s="72">
        <v>73905.09</v>
      </c>
      <c r="D65" s="72">
        <v>89900.33</v>
      </c>
      <c r="E65" s="72">
        <v>109877.98</v>
      </c>
      <c r="F65" s="72">
        <v>109960.04</v>
      </c>
      <c r="G65" s="72">
        <v>106938.38</v>
      </c>
      <c r="H65" s="72">
        <v>109606.76</v>
      </c>
      <c r="I65" s="72">
        <v>137902.15</v>
      </c>
      <c r="J65" s="72">
        <v>163344.93</v>
      </c>
      <c r="K65" s="72">
        <v>191770.59</v>
      </c>
    </row>
    <row r="66" spans="1:11" s="4" customFormat="1" ht="12.75" customHeight="1" x14ac:dyDescent="0.25">
      <c r="A66" s="4" t="s">
        <v>155</v>
      </c>
      <c r="B66" s="72">
        <v>99851.82</v>
      </c>
      <c r="C66" s="72">
        <v>113835.48</v>
      </c>
      <c r="D66" s="72">
        <v>136369.31</v>
      </c>
      <c r="E66" s="72">
        <v>161888.66</v>
      </c>
      <c r="F66" s="72">
        <v>165716.13</v>
      </c>
      <c r="G66" s="72">
        <v>164968.32999999999</v>
      </c>
      <c r="H66" s="72">
        <v>172388.49</v>
      </c>
      <c r="I66" s="72">
        <v>204283.13</v>
      </c>
      <c r="J66" s="72">
        <v>234721.74</v>
      </c>
      <c r="K66" s="72">
        <v>276013.15999999997</v>
      </c>
    </row>
    <row r="67" spans="1:11" ht="12.75" customHeight="1" x14ac:dyDescent="0.25">
      <c r="A67" s="3" t="s">
        <v>16</v>
      </c>
      <c r="B67" s="72">
        <v>5817.6</v>
      </c>
      <c r="C67" s="72">
        <v>7199.26</v>
      </c>
      <c r="D67" s="72">
        <v>8489.82</v>
      </c>
      <c r="E67" s="72">
        <v>8677.89</v>
      </c>
      <c r="F67" s="72">
        <v>6928.28</v>
      </c>
      <c r="G67" s="72">
        <v>6007.76</v>
      </c>
      <c r="H67" s="72">
        <v>6373.95</v>
      </c>
      <c r="I67" s="72">
        <v>7028.02</v>
      </c>
      <c r="J67" s="72">
        <v>7459.4</v>
      </c>
      <c r="K67" s="72">
        <v>8279.7000000000007</v>
      </c>
    </row>
    <row r="68" spans="1:11" ht="14.25" customHeight="1" x14ac:dyDescent="0.3">
      <c r="A68" s="3" t="s">
        <v>17</v>
      </c>
      <c r="B68" s="76">
        <v>9116.1200000000008</v>
      </c>
      <c r="C68" s="76">
        <v>8886.01</v>
      </c>
      <c r="D68" s="76">
        <v>9335.57</v>
      </c>
      <c r="E68" s="76">
        <v>12200.16</v>
      </c>
      <c r="F68" s="76">
        <v>11111.86</v>
      </c>
      <c r="G68" s="76">
        <v>9615.41</v>
      </c>
      <c r="H68" s="76">
        <v>11595.82</v>
      </c>
      <c r="I68" s="76">
        <v>16854.97</v>
      </c>
      <c r="J68" s="76">
        <v>18590.47</v>
      </c>
      <c r="K68" s="76">
        <v>20330.93</v>
      </c>
    </row>
    <row r="69" spans="1:11" ht="12.75" customHeight="1" x14ac:dyDescent="0.25">
      <c r="A69" s="3" t="s">
        <v>18</v>
      </c>
      <c r="B69" s="72">
        <v>4527.55</v>
      </c>
      <c r="C69" s="72">
        <v>4654.03</v>
      </c>
      <c r="D69" s="72">
        <v>6547.6</v>
      </c>
      <c r="E69" s="72">
        <v>8734.91</v>
      </c>
      <c r="F69" s="72">
        <v>7910.9</v>
      </c>
      <c r="G69" s="72">
        <v>12851.99</v>
      </c>
      <c r="H69" s="72">
        <v>11117.61</v>
      </c>
      <c r="I69" s="72">
        <v>11273.43</v>
      </c>
      <c r="J69" s="72">
        <v>12012.75</v>
      </c>
      <c r="K69" s="72">
        <v>20614.84</v>
      </c>
    </row>
    <row r="70" spans="1:11" ht="12.75" customHeight="1" x14ac:dyDescent="0.25">
      <c r="A70" s="3" t="s">
        <v>156</v>
      </c>
      <c r="B70" s="72">
        <v>592633807</v>
      </c>
      <c r="C70" s="72">
        <v>621092384</v>
      </c>
      <c r="D70" s="72">
        <v>1243192544</v>
      </c>
      <c r="E70" s="72">
        <v>1243192544</v>
      </c>
      <c r="F70" s="72">
        <v>1243192544</v>
      </c>
      <c r="G70" s="72">
        <v>1110297953</v>
      </c>
      <c r="H70" s="72">
        <v>1112130815</v>
      </c>
      <c r="I70" s="72">
        <v>1198118224</v>
      </c>
      <c r="J70" s="72">
        <v>1114775772</v>
      </c>
      <c r="K70" s="72">
        <v>1116313361</v>
      </c>
    </row>
    <row r="71" spans="1:11" ht="14.25" customHeight="1" x14ac:dyDescent="0.25">
      <c r="A71" s="3" t="s">
        <v>157</v>
      </c>
      <c r="B71" s="78"/>
      <c r="C71" s="78"/>
      <c r="D71" s="3">
        <v>621596272</v>
      </c>
      <c r="G71" s="78"/>
      <c r="H71" s="78"/>
    </row>
    <row r="72" spans="1:11" ht="12.75" customHeight="1" x14ac:dyDescent="0.25">
      <c r="A72" s="3" t="s">
        <v>158</v>
      </c>
      <c r="B72" s="72">
        <v>5</v>
      </c>
      <c r="C72" s="72">
        <v>5</v>
      </c>
      <c r="D72" s="72">
        <v>5</v>
      </c>
      <c r="E72" s="72">
        <v>5</v>
      </c>
      <c r="F72" s="72">
        <v>5</v>
      </c>
      <c r="G72" s="72">
        <v>5</v>
      </c>
      <c r="H72" s="72">
        <v>5</v>
      </c>
      <c r="I72" s="72">
        <v>5</v>
      </c>
      <c r="J72" s="72">
        <v>5</v>
      </c>
      <c r="K72" s="72">
        <v>5</v>
      </c>
    </row>
    <row r="73" spans="1:11" ht="12.75" customHeight="1" x14ac:dyDescent="0.25">
      <c r="H73" s="3">
        <f>H62-G62+H45</f>
        <v>6667.5300000000016</v>
      </c>
      <c r="I73" s="3">
        <f>I62-H62+I45</f>
        <v>2669.0499999999979</v>
      </c>
      <c r="J73" s="3">
        <f>J62-I62+J45</f>
        <v>2658.3200000000006</v>
      </c>
      <c r="K73" s="3">
        <f>K62-J62+K45</f>
        <v>8669.84</v>
      </c>
    </row>
    <row r="75" spans="1:11" ht="12.75" customHeight="1" x14ac:dyDescent="0.25">
      <c r="A75" s="3" t="s">
        <v>159</v>
      </c>
      <c r="F75" s="3">
        <f t="shared" ref="F75:K75" si="3">F65-SUM(F67:F69)</f>
        <v>84009</v>
      </c>
      <c r="G75" s="3">
        <f t="shared" si="3"/>
        <v>78463.22</v>
      </c>
      <c r="H75" s="3">
        <f t="shared" si="3"/>
        <v>80519.37999999999</v>
      </c>
      <c r="I75" s="3">
        <f t="shared" si="3"/>
        <v>102745.73</v>
      </c>
      <c r="J75" s="3">
        <f t="shared" si="3"/>
        <v>125282.31</v>
      </c>
      <c r="K75" s="3">
        <f t="shared" si="3"/>
        <v>142545.12</v>
      </c>
    </row>
    <row r="76" spans="1:11" ht="12.75" customHeight="1" x14ac:dyDescent="0.25">
      <c r="A76" s="3" t="s">
        <v>160</v>
      </c>
      <c r="F76" s="3">
        <f t="shared" ref="F76:K76" si="4">F61</f>
        <v>165716.13</v>
      </c>
      <c r="G76" s="3">
        <f t="shared" si="4"/>
        <v>164968.32999999999</v>
      </c>
      <c r="H76" s="3">
        <f t="shared" si="4"/>
        <v>172388.49</v>
      </c>
      <c r="I76" s="3">
        <f t="shared" si="4"/>
        <v>204283.13</v>
      </c>
      <c r="J76" s="3">
        <f t="shared" si="4"/>
        <v>234721.74</v>
      </c>
      <c r="K76" s="3">
        <f t="shared" si="4"/>
        <v>276013.15999999997</v>
      </c>
    </row>
    <row r="81" spans="1:12" ht="12.75" customHeight="1" x14ac:dyDescent="0.25">
      <c r="A81" s="4" t="s">
        <v>161</v>
      </c>
    </row>
    <row r="82" spans="1:12" s="75" customFormat="1" ht="12.75" customHeight="1" x14ac:dyDescent="0.25">
      <c r="A82" s="73" t="s">
        <v>139</v>
      </c>
      <c r="B82" s="74">
        <v>42460</v>
      </c>
      <c r="C82" s="74">
        <v>42825</v>
      </c>
      <c r="D82" s="74">
        <v>43190</v>
      </c>
      <c r="E82" s="74">
        <v>43555</v>
      </c>
      <c r="F82" s="74">
        <v>43921</v>
      </c>
      <c r="G82" s="74">
        <v>44286</v>
      </c>
      <c r="H82" s="74">
        <v>44651</v>
      </c>
      <c r="I82" s="74">
        <v>45016</v>
      </c>
      <c r="J82" s="74">
        <v>45382</v>
      </c>
      <c r="K82" s="74">
        <v>45747</v>
      </c>
      <c r="L82" s="74"/>
    </row>
    <row r="83" spans="1:12" s="4" customFormat="1" ht="12.75" customHeight="1" x14ac:dyDescent="0.25">
      <c r="A83" s="3" t="s">
        <v>162</v>
      </c>
      <c r="B83" s="72">
        <v>2384.7600000000002</v>
      </c>
      <c r="C83" s="72">
        <v>183.09</v>
      </c>
      <c r="D83" s="72">
        <v>681.86</v>
      </c>
      <c r="E83" s="72">
        <v>-4347.29</v>
      </c>
      <c r="F83" s="72">
        <v>-1456.93</v>
      </c>
      <c r="G83" s="72">
        <v>17908.830000000002</v>
      </c>
      <c r="H83" s="72">
        <v>9247.5499999999993</v>
      </c>
      <c r="I83" s="72">
        <v>-7074.02</v>
      </c>
      <c r="J83" s="72">
        <v>-5629.95</v>
      </c>
      <c r="K83" s="72">
        <v>3175.81</v>
      </c>
    </row>
    <row r="84" spans="1:12" ht="12.75" customHeight="1" x14ac:dyDescent="0.25">
      <c r="A84" s="3" t="s">
        <v>163</v>
      </c>
      <c r="B84" s="72">
        <v>-5505.97</v>
      </c>
      <c r="C84" s="72">
        <v>-5875.29</v>
      </c>
      <c r="D84" s="72">
        <v>-5467.22</v>
      </c>
      <c r="E84" s="72">
        <v>-7173.97</v>
      </c>
      <c r="F84" s="72">
        <v>-6869.79</v>
      </c>
      <c r="G84" s="72">
        <v>-19685.5</v>
      </c>
      <c r="H84" s="72">
        <v>-3251.95</v>
      </c>
      <c r="I84" s="72">
        <v>-8866.27</v>
      </c>
      <c r="J84" s="72">
        <v>-5614.77</v>
      </c>
      <c r="K84" s="72">
        <v>-18616.13</v>
      </c>
    </row>
    <row r="85" spans="1:12" ht="12.75" customHeight="1" x14ac:dyDescent="0.25">
      <c r="A85" s="3" t="s">
        <v>164</v>
      </c>
      <c r="B85" s="72">
        <v>2966.81</v>
      </c>
      <c r="C85" s="72">
        <v>6107.97</v>
      </c>
      <c r="D85" s="72">
        <v>6314.5</v>
      </c>
      <c r="E85" s="72">
        <v>13193.63</v>
      </c>
      <c r="F85" s="72">
        <v>6932.75</v>
      </c>
      <c r="G85" s="72">
        <v>406.23</v>
      </c>
      <c r="H85" s="72">
        <v>-5882.6</v>
      </c>
      <c r="I85" s="72">
        <v>15946.11</v>
      </c>
      <c r="J85" s="72">
        <v>12281.41</v>
      </c>
      <c r="K85" s="72">
        <v>15834.11</v>
      </c>
    </row>
    <row r="86" spans="1:12" s="4" customFormat="1" ht="12.75" customHeight="1" x14ac:dyDescent="0.25">
      <c r="A86" s="3" t="s">
        <v>45</v>
      </c>
      <c r="B86" s="72">
        <v>-154.4</v>
      </c>
      <c r="C86" s="72">
        <v>415.77</v>
      </c>
      <c r="D86" s="72">
        <v>1529.14</v>
      </c>
      <c r="E86" s="72">
        <v>1672.37</v>
      </c>
      <c r="F86" s="72">
        <v>-1393.97</v>
      </c>
      <c r="G86" s="72">
        <v>-1370.44</v>
      </c>
      <c r="H86" s="72">
        <v>113</v>
      </c>
      <c r="I86" s="72">
        <v>5.82</v>
      </c>
      <c r="J86" s="72">
        <v>1036.69</v>
      </c>
      <c r="K86" s="72">
        <v>393.79</v>
      </c>
    </row>
    <row r="91" spans="1:12" s="4" customFormat="1" ht="12.75" customHeight="1" x14ac:dyDescent="0.25">
      <c r="A91" s="4" t="s">
        <v>165</v>
      </c>
      <c r="B91" s="72">
        <v>605.35</v>
      </c>
      <c r="C91" s="72">
        <v>643.45000000000005</v>
      </c>
      <c r="D91" s="72">
        <v>738.9</v>
      </c>
      <c r="E91" s="72">
        <v>673.9</v>
      </c>
      <c r="F91" s="72">
        <v>284.95</v>
      </c>
      <c r="G91" s="72">
        <v>795.25</v>
      </c>
      <c r="H91" s="72">
        <v>806.55</v>
      </c>
      <c r="I91" s="72">
        <v>1158.7</v>
      </c>
      <c r="J91" s="72">
        <v>1921.35</v>
      </c>
      <c r="K91" s="72">
        <v>2665.8</v>
      </c>
    </row>
    <row r="93" spans="1:12" s="4" customFormat="1" ht="12.75" customHeight="1" x14ac:dyDescent="0.25">
      <c r="A93" s="4" t="s">
        <v>166</v>
      </c>
    </row>
    <row r="94" spans="1:12" ht="12.75" customHeight="1" x14ac:dyDescent="0.25">
      <c r="A94" s="3" t="s">
        <v>167</v>
      </c>
      <c r="B94" s="79">
        <v>124.22</v>
      </c>
      <c r="C94" s="79">
        <v>124.22</v>
      </c>
      <c r="D94" s="79">
        <v>124.32</v>
      </c>
      <c r="E94" s="79">
        <v>124.32</v>
      </c>
      <c r="F94" s="79">
        <v>124.32</v>
      </c>
      <c r="G94" s="79">
        <v>124.32</v>
      </c>
      <c r="H94" s="79">
        <v>124.32</v>
      </c>
      <c r="I94" s="79">
        <v>124.35</v>
      </c>
      <c r="J94" s="79">
        <v>124.35</v>
      </c>
      <c r="K94" s="79">
        <v>124.35</v>
      </c>
    </row>
  </sheetData>
  <mergeCells count="2">
    <mergeCell ref="E1:K1"/>
    <mergeCell ref="E2:K2"/>
  </mergeCells>
  <conditionalFormatting sqref="E1:K1">
    <cfRule type="cellIs" dxfId="0" priority="2" operator="notEqual">
      <formula>""</formula>
    </cfRule>
  </conditionalFormatting>
  <hyperlinks>
    <hyperlink ref="E1" r:id="rId1" display="https://www.screener.in/excel/" xr:uid="{00000000-0004-0000-0800-000000000000}"/>
  </hyperlink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Intrinsic growth</vt:lpstr>
      <vt:lpstr>PV OF FCF</vt:lpstr>
      <vt:lpstr>Raw Data (Source)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vishal mengji</dc:creator>
  <dc:description/>
  <cp:lastModifiedBy>vishal mengji</cp:lastModifiedBy>
  <cp:revision>0</cp:revision>
  <cp:lastPrinted>2026-04-12T05:41:09Z</cp:lastPrinted>
  <dcterms:created xsi:type="dcterms:W3CDTF">2026-03-29T19:34:40Z</dcterms:created>
  <dcterms:modified xsi:type="dcterms:W3CDTF">2026-04-13T21:05:22Z</dcterms:modified>
  <dc:language>en-US</dc:language>
</cp:coreProperties>
</file>